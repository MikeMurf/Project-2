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m\Documents\MDAB_homework\19-Project-2\scatter-wip\16-D3\Instructions\StarterCode\assets\data\"/>
    </mc:Choice>
  </mc:AlternateContent>
  <xr:revisionPtr revIDLastSave="0" documentId="13_ncr:1_{8E422CD3-A8D0-49B9-B75A-1CCC811807C2}" xr6:coauthVersionLast="47" xr6:coauthVersionMax="47" xr10:uidLastSave="{00000000-0000-0000-0000-000000000000}"/>
  <bookViews>
    <workbookView xWindow="-90" yWindow="-90" windowWidth="19380" windowHeight="12180" xr2:uid="{00000000-000D-0000-FFFF-FFFF00000000}"/>
  </bookViews>
  <sheets>
    <sheet name="covid_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2" i="1"/>
</calcChain>
</file>

<file path=xl/sharedStrings.xml><?xml version="1.0" encoding="utf-8"?>
<sst xmlns="http://schemas.openxmlformats.org/spreadsheetml/2006/main" count="1101" uniqueCount="384">
  <si>
    <t>country_id</t>
  </si>
  <si>
    <t>date</t>
  </si>
  <si>
    <t>confirmed</t>
  </si>
  <si>
    <t>deaths</t>
  </si>
  <si>
    <t>recovered</t>
  </si>
  <si>
    <t>active</t>
  </si>
  <si>
    <t>new_cases</t>
  </si>
  <si>
    <t>new_deaths</t>
  </si>
  <si>
    <t>new_recovered</t>
  </si>
  <si>
    <t>case_fatality_ratio</t>
  </si>
  <si>
    <t>vaccinated_per_hundred</t>
  </si>
  <si>
    <t>fully_vaccinated_per_hundred</t>
  </si>
  <si>
    <t>boosted_per_hundred</t>
  </si>
  <si>
    <t>not-vaccinated_per_hundred</t>
  </si>
  <si>
    <t>AFG</t>
  </si>
  <si>
    <t>AGO</t>
  </si>
  <si>
    <t>ALB</t>
  </si>
  <si>
    <t>AND</t>
  </si>
  <si>
    <t>ARE</t>
  </si>
  <si>
    <t>ARG</t>
  </si>
  <si>
    <t>ARM</t>
  </si>
  <si>
    <t>ATG</t>
  </si>
  <si>
    <t>AUS</t>
  </si>
  <si>
    <t>AUT</t>
  </si>
  <si>
    <t>AZE</t>
  </si>
  <si>
    <t>BDI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</si>
  <si>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</si>
  <si>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</si>
  <si>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</si>
  <si>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</si>
  <si>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</si>
  <si>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</si>
  <si>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</si>
  <si>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</si>
  <si>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</si>
  <si>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</si>
  <si>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BOL</t>
  </si>
  <si>
    <t>BRA</t>
  </si>
  <si>
    <t>BRB</t>
  </si>
  <si>
    <t>BRN</t>
  </si>
  <si>
    <t>BTN</t>
  </si>
  <si>
    <t>BWA</t>
  </si>
  <si>
    <t>CAF</t>
  </si>
  <si>
    <t>CAN</t>
  </si>
  <si>
    <t>CHE</t>
  </si>
  <si>
    <t>CHL</t>
  </si>
  <si>
    <t>CHN</t>
  </si>
  <si>
    <t>CIV</t>
  </si>
  <si>
    <t>CMR</t>
  </si>
  <si>
    <t>COL</t>
  </si>
  <si>
    <t>COM</t>
  </si>
  <si>
    <t>CRI</t>
  </si>
  <si>
    <t>CUB</t>
  </si>
  <si>
    <t>CYP</t>
  </si>
  <si>
    <t>CZE</t>
  </si>
  <si>
    <t>DEU</t>
  </si>
  <si>
    <t>DJI</t>
  </si>
  <si>
    <t>DMA</t>
  </si>
  <si>
    <t>DNK</t>
  </si>
  <si>
    <t>DOM</t>
  </si>
  <si>
    <t>DZA</t>
  </si>
  <si>
    <t>ECU</t>
  </si>
  <si>
    <t>EGY</t>
  </si>
  <si>
    <t>ERI</t>
  </si>
  <si>
    <t>ESP</t>
  </si>
  <si>
    <t>EST</t>
  </si>
  <si>
    <t>ETH</t>
  </si>
  <si>
    <t>FIN</t>
  </si>
  <si>
    <t>FJI</t>
  </si>
  <si>
    <t>FRA</t>
  </si>
  <si>
    <t>GAB</t>
  </si>
  <si>
    <t>GBR</t>
  </si>
  <si>
    <t>GEO</t>
  </si>
  <si>
    <t>GHA</t>
  </si>
  <si>
    <t>GIN</t>
  </si>
  <si>
    <t>GMB</t>
  </si>
  <si>
    <t>GNB</t>
  </si>
  <si>
    <t>GNQ</t>
  </si>
  <si>
    <t>GRC</t>
  </si>
  <si>
    <t>GRD</t>
  </si>
  <si>
    <t>GTM</t>
  </si>
  <si>
    <t>GUY</t>
  </si>
  <si>
    <t>HND</t>
  </si>
  <si>
    <t>HRV</t>
  </si>
  <si>
    <t>HTI</t>
  </si>
  <si>
    <t>HUN</t>
  </si>
  <si>
    <t>IDN</t>
  </si>
  <si>
    <t>IND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</si>
  <si>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</si>
  <si>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</si>
  <si>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</si>
  <si>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</si>
  <si>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</si>
  <si>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</si>
  <si>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</si>
  <si>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</si>
  <si>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</si>
  <si>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</si>
  <si>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</si>
  <si>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</si>
  <si>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</si>
  <si>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</si>
  <si>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</si>
  <si>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KWT</t>
  </si>
  <si>
    <t>LAO</t>
  </si>
  <si>
    <t>LBN</t>
  </si>
  <si>
    <t>LBR</t>
  </si>
  <si>
    <t>LBY</t>
  </si>
  <si>
    <t>LCA</t>
  </si>
  <si>
    <t>LIE</t>
  </si>
  <si>
    <t>LKA</t>
  </si>
  <si>
    <t>LSO</t>
  </si>
  <si>
    <t>LTU</t>
  </si>
  <si>
    <t>LUX</t>
  </si>
  <si>
    <t>LVA</t>
  </si>
  <si>
    <t>MAR</t>
  </si>
  <si>
    <t>MAC</t>
  </si>
  <si>
    <t>MCO</t>
  </si>
  <si>
    <t>MDA</t>
  </si>
  <si>
    <t>MDG</t>
  </si>
  <si>
    <t>MDV</t>
  </si>
  <si>
    <t>MHL</t>
  </si>
  <si>
    <t>MKD</t>
  </si>
  <si>
    <t>MLI</t>
  </si>
  <si>
    <t>MLT</t>
  </si>
  <si>
    <t>MNE</t>
  </si>
  <si>
    <t>MNG</t>
  </si>
  <si>
    <t>MOZ</t>
  </si>
  <si>
    <t>MRT</t>
  </si>
  <si>
    <t>MUS</t>
  </si>
  <si>
    <t>MWI</t>
  </si>
  <si>
    <t>MYS</t>
  </si>
  <si>
    <t>NAM</t>
  </si>
  <si>
    <t>NER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</si>
  <si>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</si>
  <si>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</si>
  <si>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</si>
  <si>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</si>
  <si>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</si>
  <si>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</si>
  <si>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</si>
  <si>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</si>
  <si>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</si>
  <si>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</si>
  <si>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</si>
  <si>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PLW</t>
  </si>
  <si>
    <t>PNG</t>
  </si>
  <si>
    <t>POL</t>
  </si>
  <si>
    <t>PRT</t>
  </si>
  <si>
    <t>PRY</t>
  </si>
  <si>
    <t>QAT</t>
  </si>
  <si>
    <t>ROU</t>
  </si>
  <si>
    <t>RUS</t>
  </si>
  <si>
    <t>RWA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</si>
  <si>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</si>
  <si>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</si>
  <si>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</si>
  <si>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</si>
  <si>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</si>
  <si>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</si>
  <si>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</si>
  <si>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</si>
  <si>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</si>
  <si>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</si>
  <si>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SSD</t>
  </si>
  <si>
    <t>STP</t>
  </si>
  <si>
    <t>SUR</t>
  </si>
  <si>
    <t>SVK</t>
  </si>
  <si>
    <t>SVN</t>
  </si>
  <si>
    <t>SWE</t>
  </si>
  <si>
    <t>SYC</t>
  </si>
  <si>
    <t>SYR</t>
  </si>
  <si>
    <t>TCD</t>
  </si>
  <si>
    <t>TGO</t>
  </si>
  <si>
    <t>THA</t>
  </si>
  <si>
    <t>TJK</t>
  </si>
  <si>
    <t>TON</t>
  </si>
  <si>
    <t>TTO</t>
  </si>
  <si>
    <t>TUN</t>
  </si>
  <si>
    <t>TUR</t>
  </si>
  <si>
    <t>TZA</t>
  </si>
  <si>
    <t>UGA</t>
  </si>
  <si>
    <t>UKR</t>
  </si>
  <si>
    <t>URY</t>
  </si>
  <si>
    <t>USA</t>
  </si>
  <si>
    <t>UZB</t>
  </si>
  <si>
    <t>VCT</t>
  </si>
  <si>
    <t>VEN</t>
  </si>
  <si>
    <t>VNM</t>
  </si>
  <si>
    <t>VUT</t>
  </si>
  <si>
    <t>WSM</t>
  </si>
  <si>
    <t>YEM</t>
  </si>
  <si>
    <t>ZAF</t>
  </si>
  <si>
    <t>ZMB</t>
  </si>
  <si>
    <t>ZWE</t>
  </si>
  <si>
    <t>Country Name</t>
  </si>
  <si>
    <t>Country Code</t>
  </si>
  <si>
    <t>Indicator Name</t>
  </si>
  <si>
    <t>Indicator Code</t>
  </si>
  <si>
    <t>Population, total</t>
  </si>
  <si>
    <t>SP.POP.TOTL</t>
  </si>
  <si>
    <t>Afghanistan</t>
  </si>
  <si>
    <t>Angola</t>
  </si>
  <si>
    <t>Albania</t>
  </si>
  <si>
    <t>Andorra</t>
  </si>
  <si>
    <t>United Arab Emirates</t>
  </si>
  <si>
    <t>Argentina</t>
  </si>
  <si>
    <t>Armenia</t>
  </si>
  <si>
    <t>Antigua and Barbuda</t>
  </si>
  <si>
    <t>Australia</t>
  </si>
  <si>
    <t>Austria</t>
  </si>
  <si>
    <t>Azerbaijan</t>
  </si>
  <si>
    <t>Burundi</t>
  </si>
  <si>
    <t>Belgium</t>
  </si>
  <si>
    <t>Benin</t>
  </si>
  <si>
    <t>Burkina Faso</t>
  </si>
  <si>
    <t>Bangladesh</t>
  </si>
  <si>
    <t>Bulgaria</t>
  </si>
  <si>
    <t>Bahrain</t>
  </si>
  <si>
    <t>Bahamas, The</t>
  </si>
  <si>
    <t>Bosnia and Herzegovina</t>
  </si>
  <si>
    <t>Belarus</t>
  </si>
  <si>
    <t>Belize</t>
  </si>
  <si>
    <t>Bolivia</t>
  </si>
  <si>
    <t>Brazil</t>
  </si>
  <si>
    <t>Barbados</t>
  </si>
  <si>
    <t>Brunei Darussalam</t>
  </si>
  <si>
    <t>Bhutan</t>
  </si>
  <si>
    <t>Botswana</t>
  </si>
  <si>
    <t>Central African Republic</t>
  </si>
  <si>
    <t>Canada</t>
  </si>
  <si>
    <t>Switzerland</t>
  </si>
  <si>
    <t>Chile</t>
  </si>
  <si>
    <t>China</t>
  </si>
  <si>
    <t>Cote d'Ivoire</t>
  </si>
  <si>
    <t>Cameroon</t>
  </si>
  <si>
    <t>Colombia</t>
  </si>
  <si>
    <t>Comoros</t>
  </si>
  <si>
    <t>Costa Rica</t>
  </si>
  <si>
    <t>Cuba</t>
  </si>
  <si>
    <t>Cyprus</t>
  </si>
  <si>
    <t>Czech Republic</t>
  </si>
  <si>
    <t>Germany</t>
  </si>
  <si>
    <t>Djibouti</t>
  </si>
  <si>
    <t>Dominica</t>
  </si>
  <si>
    <t>Denmark</t>
  </si>
  <si>
    <t>Dominican Republic</t>
  </si>
  <si>
    <t>Algeria</t>
  </si>
  <si>
    <t>Ecuador</t>
  </si>
  <si>
    <t>Egypt, Arab Rep.</t>
  </si>
  <si>
    <t>Eritrea</t>
  </si>
  <si>
    <t>Spain</t>
  </si>
  <si>
    <t>Estonia</t>
  </si>
  <si>
    <t>Ethiopia</t>
  </si>
  <si>
    <t>Finland</t>
  </si>
  <si>
    <t>Fiji</t>
  </si>
  <si>
    <t>France</t>
  </si>
  <si>
    <t>Gabon</t>
  </si>
  <si>
    <t>United Kingdom</t>
  </si>
  <si>
    <t>Georgia</t>
  </si>
  <si>
    <t>Ghana</t>
  </si>
  <si>
    <t>Guinea</t>
  </si>
  <si>
    <t>Gambia, The</t>
  </si>
  <si>
    <t>Guinea-Bissau</t>
  </si>
  <si>
    <t>Equatorial Guinea</t>
  </si>
  <si>
    <t>Greece</t>
  </si>
  <si>
    <t>Grenada</t>
  </si>
  <si>
    <t>Guatemala</t>
  </si>
  <si>
    <t>Guyana</t>
  </si>
  <si>
    <t>Honduras</t>
  </si>
  <si>
    <t>Croatia</t>
  </si>
  <si>
    <t>Haiti</t>
  </si>
  <si>
    <t>Hungary</t>
  </si>
  <si>
    <t>Indonesia</t>
  </si>
  <si>
    <t>India</t>
  </si>
  <si>
    <t>Ireland</t>
  </si>
  <si>
    <t>Iran, Islamic Rep.</t>
  </si>
  <si>
    <t>Iraq</t>
  </si>
  <si>
    <t>Iceland</t>
  </si>
  <si>
    <t>Israel</t>
  </si>
  <si>
    <t>Italy</t>
  </si>
  <si>
    <t>Jamaica</t>
  </si>
  <si>
    <t>Jordan</t>
  </si>
  <si>
    <t>Japan</t>
  </si>
  <si>
    <t>Kazakhstan</t>
  </si>
  <si>
    <t>Kenya</t>
  </si>
  <si>
    <t>Kyrgyz Republic</t>
  </si>
  <si>
    <t>Cambodia</t>
  </si>
  <si>
    <t>Kiribati</t>
  </si>
  <si>
    <t>St. Kitts and Nevis</t>
  </si>
  <si>
    <t>Kuwait</t>
  </si>
  <si>
    <t>Lao PDR</t>
  </si>
  <si>
    <t>Lebanon</t>
  </si>
  <si>
    <t>Liberia</t>
  </si>
  <si>
    <t>Libya</t>
  </si>
  <si>
    <t>St. Lucia</t>
  </si>
  <si>
    <t>Liechtenstein</t>
  </si>
  <si>
    <t>Sri Lanka</t>
  </si>
  <si>
    <t>Lesotho</t>
  </si>
  <si>
    <t>Lithuania</t>
  </si>
  <si>
    <t>Luxembourg</t>
  </si>
  <si>
    <t>Latvia</t>
  </si>
  <si>
    <t>Macao SAR, China</t>
  </si>
  <si>
    <t>Monaco</t>
  </si>
  <si>
    <t>Moldova</t>
  </si>
  <si>
    <t>Madagascar</t>
  </si>
  <si>
    <t>Maldives</t>
  </si>
  <si>
    <t>Marshall Islands</t>
  </si>
  <si>
    <t>North Macedonia</t>
  </si>
  <si>
    <t>Mali</t>
  </si>
  <si>
    <t>Malta</t>
  </si>
  <si>
    <t>Montenegro</t>
  </si>
  <si>
    <t>Mongolia</t>
  </si>
  <si>
    <t>Mozambique</t>
  </si>
  <si>
    <t>Mauritania</t>
  </si>
  <si>
    <t>Mauritius</t>
  </si>
  <si>
    <t>Malawi</t>
  </si>
  <si>
    <t>Malaysia</t>
  </si>
  <si>
    <t>Namibia</t>
  </si>
  <si>
    <t>Niger</t>
  </si>
  <si>
    <t>Nigeria</t>
  </si>
  <si>
    <t>Nicaragua</t>
  </si>
  <si>
    <t>Netherlands</t>
  </si>
  <si>
    <t>Norway</t>
  </si>
  <si>
    <t>Nepal</t>
  </si>
  <si>
    <t>New Zealand</t>
  </si>
  <si>
    <t>Oman</t>
  </si>
  <si>
    <t>Pakistan</t>
  </si>
  <si>
    <t>Panama</t>
  </si>
  <si>
    <t>Peru</t>
  </si>
  <si>
    <t>Philippines</t>
  </si>
  <si>
    <t>Palau</t>
  </si>
  <si>
    <t>Papua New Guinea</t>
  </si>
  <si>
    <t>Poland</t>
  </si>
  <si>
    <t>Portugal</t>
  </si>
  <si>
    <t>Paraguay</t>
  </si>
  <si>
    <t>Qatar</t>
  </si>
  <si>
    <t>Romania</t>
  </si>
  <si>
    <t>Russian Federation</t>
  </si>
  <si>
    <t>Rwanda</t>
  </si>
  <si>
    <t>Saudi Arabia</t>
  </si>
  <si>
    <t>Sudan</t>
  </si>
  <si>
    <t>Senegal</t>
  </si>
  <si>
    <t>Singapore</t>
  </si>
  <si>
    <t>Solomon Islands</t>
  </si>
  <si>
    <t>Sierra Leone</t>
  </si>
  <si>
    <t>El Salvador</t>
  </si>
  <si>
    <t>San Marino</t>
  </si>
  <si>
    <t>Somalia</t>
  </si>
  <si>
    <t>Serbia</t>
  </si>
  <si>
    <t>South Sudan</t>
  </si>
  <si>
    <t>Sao Tome and Principe</t>
  </si>
  <si>
    <t>Suriname</t>
  </si>
  <si>
    <t>Slovak Republic</t>
  </si>
  <si>
    <t>Slovenia</t>
  </si>
  <si>
    <t>Sweden</t>
  </si>
  <si>
    <t>Seychelles</t>
  </si>
  <si>
    <t>Syrian Arab Republic</t>
  </si>
  <si>
    <t>Chad</t>
  </si>
  <si>
    <t>Togo</t>
  </si>
  <si>
    <t>Thailand</t>
  </si>
  <si>
    <t>Tajikistan</t>
  </si>
  <si>
    <t>Tonga</t>
  </si>
  <si>
    <t>Trinidad and Tobago</t>
  </si>
  <si>
    <t>Tunisia</t>
  </si>
  <si>
    <t>Turkey</t>
  </si>
  <si>
    <t>Tanzania</t>
  </si>
  <si>
    <t>Uganda</t>
  </si>
  <si>
    <t>Ukraine</t>
  </si>
  <si>
    <t>Uruguay</t>
  </si>
  <si>
    <t>United States</t>
  </si>
  <si>
    <t>Uzbekistan</t>
  </si>
  <si>
    <t>St. Vincent and the Grenadines</t>
  </si>
  <si>
    <t>Venezuela, RB</t>
  </si>
  <si>
    <t>Vietnam</t>
  </si>
  <si>
    <t>Vanuatu</t>
  </si>
  <si>
    <t>Samoa</t>
  </si>
  <si>
    <t>Yemen, Rep.</t>
  </si>
  <si>
    <t>South Africa</t>
  </si>
  <si>
    <t>Zambia</t>
  </si>
  <si>
    <t>Zimbabwe</t>
  </si>
  <si>
    <t>Vacc_country_id</t>
  </si>
  <si>
    <t>cases_per_100</t>
  </si>
  <si>
    <t>deaths_per_100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</si>
</sst>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14" fontId="0" fillId="35" borderId="0" xfId="0" applyNumberFormat="1" applyFill="1"/>
    <xf numFmtId="10" fontId="0" fillId="35" borderId="0" xfId="0" applyNumberFormat="1" applyFill="1"/>
    <xf numFmtId="164" fontId="0" fillId="36" borderId="0" xfId="0" applyNumberFormat="1" applyFill="1"/>
    <xf numFmtId="164" fontId="0" fillId="35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CCFF"/>
      <color rgb="FFFFFF99"/>
      <color rgb="FF66FFFF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81"/>
  <sheetViews>
    <sheetView tabSelected="1" topLeftCell="B1" workbookViewId="0">
      <pane ySplit="1" topLeftCell="A2" activePane="bottomLeft" state="frozen"/>
      <selection pane="bottomLeft" activeCell="G1" sqref="G1:G1048576"/>
    </sheetView>
  </sheetViews>
  <sheetFormatPr defaultRowHeight="14.75" x14ac:dyDescent="0.75"/>
  <cols>
    <col min="1" max="2" width="8.7265625" style="3"/>
    <col min="3" max="3" width="11.2265625" style="3" customWidth="1"/>
    <col min="4" max="4" width="8.7265625" style="3"/>
    <col min="5" max="5" width="15" style="6" customWidth="1"/>
    <col min="6" max="6" width="8.7265625" style="3"/>
    <col min="7" max="7" width="15.26953125" style="7" customWidth="1"/>
    <col min="8" max="14" width="8.7265625" style="3"/>
    <col min="15" max="20" width="8.7265625" style="2"/>
    <col min="21" max="21" width="8.7265625" style="1"/>
    <col min="22" max="22" width="10.40625" style="1" customWidth="1"/>
    <col min="23" max="23" width="10.76953125" style="1" customWidth="1"/>
    <col min="24" max="24" width="15.6796875" style="1" customWidth="1"/>
    <col min="25" max="25" width="15.36328125" style="1" customWidth="1"/>
    <col min="26" max="26" width="14.1328125" style="1" customWidth="1"/>
  </cols>
  <sheetData>
    <row r="1" spans="1:26" x14ac:dyDescent="0.75">
      <c r="B1" s="3" t="s">
        <v>0</v>
      </c>
      <c r="C1" s="3" t="s">
        <v>1</v>
      </c>
      <c r="D1" s="3" t="s">
        <v>2</v>
      </c>
      <c r="E1" s="6" t="s">
        <v>382</v>
      </c>
      <c r="F1" s="3" t="s">
        <v>3</v>
      </c>
      <c r="G1" s="6" t="s">
        <v>383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N1" s="3" t="s">
        <v>9</v>
      </c>
      <c r="P1" s="2" t="s">
        <v>381</v>
      </c>
      <c r="Q1" s="2" t="s">
        <v>10</v>
      </c>
      <c r="R1" s="2" t="s">
        <v>11</v>
      </c>
      <c r="S1" s="2" t="s">
        <v>12</v>
      </c>
      <c r="T1" s="2" t="s">
        <v>13</v>
      </c>
      <c r="V1" s="1" t="s">
        <v>195</v>
      </c>
      <c r="W1" s="1" t="s">
        <v>196</v>
      </c>
      <c r="X1" s="1" t="s">
        <v>197</v>
      </c>
      <c r="Y1" s="1" t="s">
        <v>198</v>
      </c>
      <c r="Z1" s="1">
        <v>2020</v>
      </c>
    </row>
    <row r="2" spans="1:26" x14ac:dyDescent="0.75">
      <c r="A2" s="3">
        <v>778</v>
      </c>
      <c r="B2" s="3" t="s">
        <v>14</v>
      </c>
      <c r="C2" s="4">
        <v>44630</v>
      </c>
      <c r="D2" s="3">
        <v>175893</v>
      </c>
      <c r="E2" s="6">
        <f>D2/Z2*100</f>
        <v>0.45183790390656514</v>
      </c>
      <c r="F2" s="3">
        <v>7639</v>
      </c>
      <c r="G2" s="6">
        <f>F2/Z2*100</f>
        <v>1.9623235421206364E-2</v>
      </c>
      <c r="H2" s="3">
        <v>0</v>
      </c>
      <c r="I2" s="3">
        <v>168254</v>
      </c>
      <c r="J2" s="3">
        <v>368</v>
      </c>
      <c r="K2" s="3">
        <v>3</v>
      </c>
      <c r="L2" s="3">
        <v>0</v>
      </c>
      <c r="N2" s="5">
        <v>4.3400000000000001E-2</v>
      </c>
      <c r="O2" s="2">
        <v>712</v>
      </c>
      <c r="P2" s="2" t="s">
        <v>14</v>
      </c>
      <c r="Q2" s="2">
        <v>0</v>
      </c>
      <c r="R2" s="2">
        <v>0</v>
      </c>
      <c r="S2" s="2">
        <v>0</v>
      </c>
      <c r="T2" s="2">
        <v>0</v>
      </c>
      <c r="U2" s="1">
        <v>2</v>
      </c>
      <c r="V2" s="1" t="s">
        <v>201</v>
      </c>
      <c r="W2" s="1" t="s">
        <v>14</v>
      </c>
      <c r="X2" s="1" t="s">
        <v>199</v>
      </c>
      <c r="Y2" s="1" t="s">
        <v>200</v>
      </c>
      <c r="Z2" s="1">
        <v>38928341</v>
      </c>
    </row>
    <row r="3" spans="1:26" x14ac:dyDescent="0.75">
      <c r="A3" s="3">
        <v>3894</v>
      </c>
      <c r="B3" s="3" t="s">
        <v>15</v>
      </c>
      <c r="C3" s="4">
        <v>44630</v>
      </c>
      <c r="D3" s="3">
        <v>98855</v>
      </c>
      <c r="E3" s="6">
        <f t="shared" ref="E3:E66" si="0">D3/Z3*100</f>
        <v>0.30077951046951845</v>
      </c>
      <c r="F3" s="3">
        <v>1900</v>
      </c>
      <c r="G3" s="6">
        <f t="shared" ref="G3:G66" si="1">F3/Z3*100</f>
        <v>5.7810031853936074E-3</v>
      </c>
      <c r="H3" s="3">
        <v>0</v>
      </c>
      <c r="I3" s="3">
        <v>96955</v>
      </c>
      <c r="J3" s="3">
        <v>0</v>
      </c>
      <c r="K3" s="3">
        <v>0</v>
      </c>
      <c r="L3" s="3">
        <v>0</v>
      </c>
      <c r="N3" s="5">
        <v>1.9199999999999998E-2</v>
      </c>
      <c r="O3" s="2">
        <v>4254</v>
      </c>
      <c r="P3" s="2" t="s">
        <v>15</v>
      </c>
      <c r="Q3" s="2">
        <v>0</v>
      </c>
      <c r="R3" s="2">
        <v>0</v>
      </c>
      <c r="S3" s="2">
        <v>0</v>
      </c>
      <c r="T3" s="2">
        <v>0</v>
      </c>
      <c r="U3" s="1">
        <v>4</v>
      </c>
      <c r="V3" s="1" t="s">
        <v>202</v>
      </c>
      <c r="W3" s="1" t="s">
        <v>15</v>
      </c>
      <c r="X3" s="1" t="s">
        <v>199</v>
      </c>
      <c r="Y3" s="1" t="s">
        <v>200</v>
      </c>
      <c r="Z3" s="1">
        <v>32866268</v>
      </c>
    </row>
    <row r="4" spans="1:26" x14ac:dyDescent="0.75">
      <c r="A4" s="3">
        <v>1557</v>
      </c>
      <c r="B4" s="3" t="s">
        <v>16</v>
      </c>
      <c r="C4" s="4">
        <v>44630</v>
      </c>
      <c r="D4" s="3">
        <v>272479</v>
      </c>
      <c r="E4" s="6">
        <f t="shared" si="0"/>
        <v>9.6019618408009464</v>
      </c>
      <c r="F4" s="3">
        <v>3484</v>
      </c>
      <c r="G4" s="6">
        <f t="shared" si="1"/>
        <v>0.12277362678720379</v>
      </c>
      <c r="H4" s="3">
        <v>0</v>
      </c>
      <c r="I4" s="3">
        <v>268995</v>
      </c>
      <c r="J4" s="3">
        <v>67</v>
      </c>
      <c r="K4" s="3">
        <v>1</v>
      </c>
      <c r="L4" s="3">
        <v>0</v>
      </c>
      <c r="N4" s="5">
        <v>1.2800000000000001E-2</v>
      </c>
      <c r="O4" s="2">
        <v>2148</v>
      </c>
      <c r="P4" s="2" t="s">
        <v>16</v>
      </c>
      <c r="Q4" s="2">
        <v>0</v>
      </c>
      <c r="R4" s="2">
        <v>0</v>
      </c>
      <c r="S4" s="2">
        <v>0</v>
      </c>
      <c r="T4" s="2">
        <v>0</v>
      </c>
      <c r="U4" s="1">
        <v>5</v>
      </c>
      <c r="V4" s="1" t="s">
        <v>203</v>
      </c>
      <c r="W4" s="1" t="s">
        <v>16</v>
      </c>
      <c r="X4" s="1" t="s">
        <v>199</v>
      </c>
      <c r="Y4" s="1" t="s">
        <v>200</v>
      </c>
      <c r="Z4" s="1">
        <v>2837743</v>
      </c>
    </row>
    <row r="5" spans="1:26" x14ac:dyDescent="0.75">
      <c r="A5" s="3">
        <v>3115</v>
      </c>
      <c r="B5" s="3" t="s">
        <v>17</v>
      </c>
      <c r="C5" s="4">
        <v>44630</v>
      </c>
      <c r="D5" s="3">
        <v>38794</v>
      </c>
      <c r="E5" s="6">
        <f t="shared" si="0"/>
        <v>50.209020902090209</v>
      </c>
      <c r="F5" s="3">
        <v>152</v>
      </c>
      <c r="G5" s="6">
        <f t="shared" si="1"/>
        <v>0.19672555490843202</v>
      </c>
      <c r="H5" s="3">
        <v>0</v>
      </c>
      <c r="I5" s="3">
        <v>38642</v>
      </c>
      <c r="J5" s="3">
        <v>0</v>
      </c>
      <c r="K5" s="3">
        <v>0</v>
      </c>
      <c r="L5" s="3">
        <v>0</v>
      </c>
      <c r="N5" s="5">
        <v>3.8999999999999998E-3</v>
      </c>
      <c r="O5" s="2">
        <v>3566</v>
      </c>
      <c r="P5" s="2" t="s">
        <v>17</v>
      </c>
      <c r="Q5" s="2">
        <v>0</v>
      </c>
      <c r="R5" s="2">
        <v>0</v>
      </c>
      <c r="S5" s="2">
        <v>0</v>
      </c>
      <c r="T5" s="2">
        <v>0</v>
      </c>
      <c r="U5" s="1">
        <v>6</v>
      </c>
      <c r="V5" s="1" t="s">
        <v>204</v>
      </c>
      <c r="W5" s="1" t="s">
        <v>17</v>
      </c>
      <c r="X5" s="1" t="s">
        <v>199</v>
      </c>
      <c r="Y5" s="1" t="s">
        <v>200</v>
      </c>
      <c r="Z5" s="1">
        <v>77265</v>
      </c>
    </row>
    <row r="6" spans="1:26" x14ac:dyDescent="0.75">
      <c r="A6" s="3">
        <v>134766</v>
      </c>
      <c r="B6" s="3" t="s">
        <v>18</v>
      </c>
      <c r="C6" s="4">
        <v>44630</v>
      </c>
      <c r="D6" s="3">
        <v>884354</v>
      </c>
      <c r="E6" s="6">
        <f t="shared" si="0"/>
        <v>8.9415392704036236</v>
      </c>
      <c r="F6" s="3">
        <v>2302</v>
      </c>
      <c r="G6" s="6">
        <f t="shared" si="1"/>
        <v>2.3275095041656556E-2</v>
      </c>
      <c r="H6" s="3">
        <v>0</v>
      </c>
      <c r="I6" s="3">
        <v>882052</v>
      </c>
      <c r="J6" s="3">
        <v>369</v>
      </c>
      <c r="K6" s="3">
        <v>0</v>
      </c>
      <c r="L6" s="3">
        <v>0</v>
      </c>
      <c r="N6" s="5">
        <v>2.5999999999999999E-3</v>
      </c>
      <c r="O6" s="2">
        <v>150303</v>
      </c>
      <c r="P6" s="2" t="s">
        <v>18</v>
      </c>
      <c r="Q6" s="2">
        <v>0</v>
      </c>
      <c r="R6" s="2">
        <v>0</v>
      </c>
      <c r="S6" s="2">
        <v>44.41</v>
      </c>
      <c r="T6" s="2">
        <v>0</v>
      </c>
      <c r="U6" s="1">
        <v>8</v>
      </c>
      <c r="V6" s="1" t="s">
        <v>205</v>
      </c>
      <c r="W6" s="1" t="s">
        <v>18</v>
      </c>
      <c r="X6" s="1" t="s">
        <v>199</v>
      </c>
      <c r="Y6" s="1" t="s">
        <v>200</v>
      </c>
      <c r="Z6" s="1">
        <v>9890400</v>
      </c>
    </row>
    <row r="7" spans="1:26" x14ac:dyDescent="0.75">
      <c r="A7" s="3">
        <v>5452</v>
      </c>
      <c r="B7" s="3" t="s">
        <v>19</v>
      </c>
      <c r="C7" s="4">
        <v>44630</v>
      </c>
      <c r="D7" s="3">
        <v>8961595</v>
      </c>
      <c r="E7" s="6">
        <f t="shared" si="0"/>
        <v>19.749304285984437</v>
      </c>
      <c r="F7" s="3">
        <v>127009</v>
      </c>
      <c r="G7" s="6">
        <f t="shared" si="1"/>
        <v>0.27989876668813951</v>
      </c>
      <c r="H7" s="3">
        <v>0</v>
      </c>
      <c r="I7" s="3">
        <v>8834586</v>
      </c>
      <c r="J7" s="3">
        <v>6137</v>
      </c>
      <c r="K7" s="3">
        <v>54</v>
      </c>
      <c r="L7" s="3">
        <v>0</v>
      </c>
      <c r="N7" s="5">
        <v>1.4200000000000001E-2</v>
      </c>
      <c r="O7" s="2">
        <v>6396</v>
      </c>
      <c r="P7" s="2" t="s">
        <v>19</v>
      </c>
      <c r="Q7" s="2">
        <v>87.33</v>
      </c>
      <c r="R7" s="2">
        <v>87.33</v>
      </c>
      <c r="S7" s="2">
        <v>30.37</v>
      </c>
      <c r="T7" s="2">
        <v>12.67</v>
      </c>
      <c r="U7" s="1">
        <v>9</v>
      </c>
      <c r="V7" s="1" t="s">
        <v>206</v>
      </c>
      <c r="W7" s="1" t="s">
        <v>19</v>
      </c>
      <c r="X7" s="1" t="s">
        <v>199</v>
      </c>
      <c r="Y7" s="1" t="s">
        <v>200</v>
      </c>
      <c r="Z7" s="1">
        <v>45376763</v>
      </c>
    </row>
    <row r="8" spans="1:26" x14ac:dyDescent="0.75">
      <c r="A8" s="3">
        <v>6231</v>
      </c>
      <c r="B8" s="3" t="s">
        <v>20</v>
      </c>
      <c r="C8" s="4">
        <v>44630</v>
      </c>
      <c r="D8" s="3">
        <v>421714</v>
      </c>
      <c r="E8" s="6">
        <f t="shared" si="0"/>
        <v>14.231545669359896</v>
      </c>
      <c r="F8" s="3">
        <v>8563</v>
      </c>
      <c r="G8" s="6">
        <f t="shared" si="1"/>
        <v>0.28897481602870378</v>
      </c>
      <c r="H8" s="3">
        <v>0</v>
      </c>
      <c r="I8" s="3">
        <v>413151</v>
      </c>
      <c r="J8" s="3">
        <v>122</v>
      </c>
      <c r="K8" s="3">
        <v>3</v>
      </c>
      <c r="L8" s="3">
        <v>0</v>
      </c>
      <c r="N8" s="5">
        <v>2.0299999999999999E-2</v>
      </c>
      <c r="O8" s="2">
        <v>7103</v>
      </c>
      <c r="P8" s="2" t="s">
        <v>20</v>
      </c>
      <c r="Q8" s="2">
        <v>0</v>
      </c>
      <c r="R8" s="2">
        <v>0</v>
      </c>
      <c r="S8" s="2">
        <v>0</v>
      </c>
      <c r="T8" s="2">
        <v>0</v>
      </c>
      <c r="U8" s="1">
        <v>10</v>
      </c>
      <c r="V8" s="1" t="s">
        <v>207</v>
      </c>
      <c r="W8" s="1" t="s">
        <v>20</v>
      </c>
      <c r="X8" s="1" t="s">
        <v>199</v>
      </c>
      <c r="Y8" s="1" t="s">
        <v>200</v>
      </c>
      <c r="Z8" s="1">
        <v>2963234</v>
      </c>
    </row>
    <row r="9" spans="1:26" x14ac:dyDescent="0.75">
      <c r="A9" s="3">
        <v>4673</v>
      </c>
      <c r="B9" s="3" t="s">
        <v>21</v>
      </c>
      <c r="C9" s="4">
        <v>44630</v>
      </c>
      <c r="D9" s="3">
        <v>7461</v>
      </c>
      <c r="E9" s="6">
        <f t="shared" si="0"/>
        <v>7.618862838003432</v>
      </c>
      <c r="F9" s="3">
        <v>135</v>
      </c>
      <c r="G9" s="6">
        <f t="shared" si="1"/>
        <v>0.13785638428232988</v>
      </c>
      <c r="H9" s="3">
        <v>0</v>
      </c>
      <c r="I9" s="3">
        <v>7326</v>
      </c>
      <c r="J9" s="3">
        <v>0</v>
      </c>
      <c r="K9" s="3">
        <v>0</v>
      </c>
      <c r="L9" s="3">
        <v>0</v>
      </c>
      <c r="N9" s="5">
        <v>1.8100000000000002E-2</v>
      </c>
      <c r="O9" s="2">
        <v>5629</v>
      </c>
      <c r="P9" s="2" t="s">
        <v>21</v>
      </c>
      <c r="Q9" s="2">
        <v>0</v>
      </c>
      <c r="R9" s="2">
        <v>0</v>
      </c>
      <c r="S9" s="2">
        <v>0</v>
      </c>
      <c r="T9" s="2">
        <v>0</v>
      </c>
      <c r="U9" s="1">
        <v>12</v>
      </c>
      <c r="V9" s="1" t="s">
        <v>208</v>
      </c>
      <c r="W9" s="1" t="s">
        <v>21</v>
      </c>
      <c r="X9" s="1" t="s">
        <v>199</v>
      </c>
      <c r="Y9" s="1" t="s">
        <v>200</v>
      </c>
      <c r="Z9" s="1">
        <v>97928</v>
      </c>
    </row>
    <row r="10" spans="1:26" ht="14.5" customHeight="1" x14ac:dyDescent="0.75">
      <c r="A10" s="3">
        <v>7010</v>
      </c>
      <c r="B10" s="3" t="s">
        <v>22</v>
      </c>
      <c r="C10" s="4">
        <v>44630</v>
      </c>
      <c r="D10" s="3">
        <v>3527894</v>
      </c>
      <c r="E10" s="6">
        <f t="shared" si="0"/>
        <v>13.73413932729737</v>
      </c>
      <c r="F10" s="3">
        <v>5550</v>
      </c>
      <c r="G10" s="6">
        <f t="shared" si="1"/>
        <v>2.1606225489343048E-2</v>
      </c>
      <c r="H10" s="3">
        <v>0</v>
      </c>
      <c r="I10" s="3">
        <v>3522344</v>
      </c>
      <c r="J10" s="3">
        <v>31689</v>
      </c>
      <c r="K10" s="3">
        <v>30</v>
      </c>
      <c r="L10" s="3">
        <v>0</v>
      </c>
      <c r="N10" s="5">
        <v>1.6000000000000001E-3</v>
      </c>
      <c r="O10" s="2">
        <v>9286</v>
      </c>
      <c r="P10" s="2" t="s">
        <v>22</v>
      </c>
      <c r="Q10" s="2">
        <v>84.55</v>
      </c>
      <c r="R10" s="2">
        <v>84.55</v>
      </c>
      <c r="S10" s="2">
        <v>34.67</v>
      </c>
      <c r="T10" s="2">
        <v>15.45</v>
      </c>
      <c r="U10" s="1">
        <v>13</v>
      </c>
      <c r="V10" s="1" t="s">
        <v>209</v>
      </c>
      <c r="W10" s="1" t="s">
        <v>22</v>
      </c>
      <c r="X10" s="1" t="s">
        <v>199</v>
      </c>
      <c r="Y10" s="1" t="s">
        <v>200</v>
      </c>
      <c r="Z10" s="1">
        <v>25687041</v>
      </c>
    </row>
    <row r="11" spans="1:26" ht="14.5" customHeight="1" x14ac:dyDescent="0.75">
      <c r="A11" s="3">
        <v>7789</v>
      </c>
      <c r="B11" s="3" t="s">
        <v>23</v>
      </c>
      <c r="C11" s="4">
        <v>44630</v>
      </c>
      <c r="D11" s="3">
        <v>3022079</v>
      </c>
      <c r="E11" s="6">
        <f t="shared" si="0"/>
        <v>33.890428671315732</v>
      </c>
      <c r="F11" s="3">
        <v>15136</v>
      </c>
      <c r="G11" s="6">
        <f t="shared" si="1"/>
        <v>0.16973928489924814</v>
      </c>
      <c r="H11" s="3">
        <v>0</v>
      </c>
      <c r="I11" s="3">
        <v>3006943</v>
      </c>
      <c r="J11" s="3">
        <v>49432</v>
      </c>
      <c r="K11" s="3">
        <v>23</v>
      </c>
      <c r="L11" s="3">
        <v>0</v>
      </c>
      <c r="N11" s="5">
        <v>5.0000000000000001E-3</v>
      </c>
      <c r="O11" s="2">
        <v>9998</v>
      </c>
      <c r="P11" s="2" t="s">
        <v>23</v>
      </c>
      <c r="Q11" s="2">
        <v>0</v>
      </c>
      <c r="R11" s="2">
        <v>0</v>
      </c>
      <c r="S11" s="2">
        <v>0</v>
      </c>
      <c r="T11" s="2">
        <v>0</v>
      </c>
      <c r="U11" s="1">
        <v>14</v>
      </c>
      <c r="V11" s="1" t="s">
        <v>210</v>
      </c>
      <c r="W11" s="1" t="s">
        <v>23</v>
      </c>
      <c r="X11" s="1" t="s">
        <v>199</v>
      </c>
      <c r="Y11" s="1" t="s">
        <v>200</v>
      </c>
      <c r="Z11" s="1">
        <v>8917205</v>
      </c>
    </row>
    <row r="12" spans="1:26" ht="14.5" customHeight="1" x14ac:dyDescent="0.75">
      <c r="A12" s="3">
        <v>8568</v>
      </c>
      <c r="B12" s="3" t="s">
        <v>24</v>
      </c>
      <c r="C12" s="4">
        <v>44630</v>
      </c>
      <c r="D12" s="3">
        <v>790153</v>
      </c>
      <c r="E12" s="6">
        <f t="shared" si="0"/>
        <v>7.815469179582113</v>
      </c>
      <c r="F12" s="3">
        <v>9575</v>
      </c>
      <c r="G12" s="6">
        <f t="shared" si="1"/>
        <v>9.470712304388991E-2</v>
      </c>
      <c r="H12" s="3">
        <v>0</v>
      </c>
      <c r="I12" s="3">
        <v>780578</v>
      </c>
      <c r="J12" s="3">
        <v>270</v>
      </c>
      <c r="K12" s="3">
        <v>17</v>
      </c>
      <c r="L12" s="3">
        <v>0</v>
      </c>
      <c r="N12" s="5">
        <v>1.21E-2</v>
      </c>
      <c r="O12" s="2">
        <v>10705</v>
      </c>
      <c r="P12" s="2" t="s">
        <v>24</v>
      </c>
      <c r="Q12" s="2">
        <v>51.31</v>
      </c>
      <c r="R12" s="2">
        <v>51.31</v>
      </c>
      <c r="S12" s="2">
        <v>21.42</v>
      </c>
      <c r="T12" s="2">
        <v>48.69</v>
      </c>
      <c r="U12" s="1">
        <v>15</v>
      </c>
      <c r="V12" s="1" t="s">
        <v>211</v>
      </c>
      <c r="W12" s="1" t="s">
        <v>24</v>
      </c>
      <c r="X12" s="1" t="s">
        <v>199</v>
      </c>
      <c r="Y12" s="1" t="s">
        <v>200</v>
      </c>
      <c r="Z12" s="1">
        <v>10110116</v>
      </c>
    </row>
    <row r="13" spans="1:26" ht="14.5" customHeight="1" x14ac:dyDescent="0.75">
      <c r="A13" s="3">
        <v>21811</v>
      </c>
      <c r="B13" s="3" t="s">
        <v>25</v>
      </c>
      <c r="C13" s="4">
        <v>44630</v>
      </c>
      <c r="D13" s="3">
        <v>38238</v>
      </c>
      <c r="E13" s="6">
        <f t="shared" si="0"/>
        <v>0.32157685857640472</v>
      </c>
      <c r="F13" s="3">
        <v>38</v>
      </c>
      <c r="G13" s="6">
        <f t="shared" si="1"/>
        <v>3.1957530796337095E-4</v>
      </c>
      <c r="H13" s="3">
        <v>0</v>
      </c>
      <c r="I13" s="3">
        <v>38200</v>
      </c>
      <c r="J13" s="3">
        <v>29</v>
      </c>
      <c r="K13" s="3">
        <v>0</v>
      </c>
      <c r="L13" s="3">
        <v>0</v>
      </c>
      <c r="N13" s="5">
        <v>1E-3</v>
      </c>
      <c r="O13" s="2">
        <v>24634</v>
      </c>
      <c r="P13" s="2" t="s">
        <v>25</v>
      </c>
      <c r="Q13" s="2">
        <v>0</v>
      </c>
      <c r="R13" s="2">
        <v>0</v>
      </c>
      <c r="S13" s="2">
        <v>0</v>
      </c>
      <c r="T13" s="2">
        <v>0</v>
      </c>
      <c r="U13" s="1">
        <v>16</v>
      </c>
      <c r="V13" s="1" t="s">
        <v>212</v>
      </c>
      <c r="W13" s="1" t="s">
        <v>25</v>
      </c>
      <c r="X13" s="1" t="s">
        <v>199</v>
      </c>
      <c r="Y13" s="1" t="s">
        <v>200</v>
      </c>
      <c r="Z13" s="1">
        <v>11890781</v>
      </c>
    </row>
    <row r="14" spans="1:26" x14ac:dyDescent="0.75">
      <c r="A14" s="3">
        <v>13242</v>
      </c>
      <c r="B14" s="3" t="s">
        <v>26</v>
      </c>
      <c r="C14" s="4">
        <v>44630</v>
      </c>
      <c r="D14" s="3">
        <v>3629671</v>
      </c>
      <c r="E14" s="6">
        <f t="shared" si="0"/>
        <v>31.409414523039423</v>
      </c>
      <c r="F14" s="3">
        <v>30380</v>
      </c>
      <c r="G14" s="6">
        <f t="shared" si="1"/>
        <v>0.26289380310500254</v>
      </c>
      <c r="H14" s="3">
        <v>0</v>
      </c>
      <c r="I14" s="3">
        <v>3599291</v>
      </c>
      <c r="J14" s="3">
        <v>20549</v>
      </c>
      <c r="K14" s="3">
        <v>67</v>
      </c>
      <c r="L14" s="3">
        <v>0</v>
      </c>
      <c r="N14" s="5">
        <v>8.3999999999999995E-3</v>
      </c>
      <c r="O14" s="2">
        <v>14948</v>
      </c>
      <c r="P14" s="2" t="s">
        <v>26</v>
      </c>
      <c r="Q14" s="2">
        <v>0</v>
      </c>
      <c r="R14" s="2">
        <v>0</v>
      </c>
      <c r="S14" s="2">
        <v>0</v>
      </c>
      <c r="T14" s="2">
        <v>0</v>
      </c>
      <c r="U14" s="1">
        <v>17</v>
      </c>
      <c r="V14" s="1" t="s">
        <v>213</v>
      </c>
      <c r="W14" s="1" t="s">
        <v>26</v>
      </c>
      <c r="X14" s="1" t="s">
        <v>199</v>
      </c>
      <c r="Y14" s="1" t="s">
        <v>200</v>
      </c>
      <c r="Z14" s="1">
        <v>11555997</v>
      </c>
    </row>
    <row r="15" spans="1:26" x14ac:dyDescent="0.75">
      <c r="A15" s="3">
        <v>14800</v>
      </c>
      <c r="B15" s="3" t="s">
        <v>27</v>
      </c>
      <c r="C15" s="4">
        <v>44630</v>
      </c>
      <c r="D15" s="3">
        <v>26575</v>
      </c>
      <c r="E15" s="6">
        <f t="shared" si="0"/>
        <v>0.21920783608417516</v>
      </c>
      <c r="F15" s="3">
        <v>163</v>
      </c>
      <c r="G15" s="6">
        <f t="shared" si="1"/>
        <v>1.344529718973492E-3</v>
      </c>
      <c r="H15" s="3">
        <v>0</v>
      </c>
      <c r="I15" s="3">
        <v>26412</v>
      </c>
      <c r="J15" s="3">
        <v>0</v>
      </c>
      <c r="K15" s="3">
        <v>0</v>
      </c>
      <c r="L15" s="3">
        <v>0</v>
      </c>
      <c r="N15" s="5">
        <v>6.1000000000000004E-3</v>
      </c>
      <c r="O15" s="2">
        <v>16325</v>
      </c>
      <c r="P15" s="2" t="s">
        <v>27</v>
      </c>
      <c r="Q15" s="2">
        <v>0</v>
      </c>
      <c r="R15" s="2">
        <v>0</v>
      </c>
      <c r="S15" s="2">
        <v>0</v>
      </c>
      <c r="T15" s="2">
        <v>0</v>
      </c>
      <c r="U15" s="1">
        <v>18</v>
      </c>
      <c r="V15" s="1" t="s">
        <v>214</v>
      </c>
      <c r="W15" s="1" t="s">
        <v>27</v>
      </c>
      <c r="X15" s="1" t="s">
        <v>199</v>
      </c>
      <c r="Y15" s="1" t="s">
        <v>200</v>
      </c>
      <c r="Z15" s="1">
        <v>12123198</v>
      </c>
    </row>
    <row r="16" spans="1:26" x14ac:dyDescent="0.75">
      <c r="A16" s="3">
        <v>21032</v>
      </c>
      <c r="B16" s="3" t="s">
        <v>28</v>
      </c>
      <c r="C16" s="4">
        <v>44630</v>
      </c>
      <c r="D16" s="3">
        <v>20751</v>
      </c>
      <c r="E16" s="6">
        <f t="shared" si="0"/>
        <v>9.9271511386874359E-2</v>
      </c>
      <c r="F16" s="3">
        <v>375</v>
      </c>
      <c r="G16" s="6">
        <f t="shared" si="1"/>
        <v>1.7939770020759425E-3</v>
      </c>
      <c r="H16" s="3">
        <v>0</v>
      </c>
      <c r="I16" s="3">
        <v>20376</v>
      </c>
      <c r="J16" s="3">
        <v>0</v>
      </c>
      <c r="K16" s="3">
        <v>0</v>
      </c>
      <c r="L16" s="3">
        <v>0</v>
      </c>
      <c r="N16" s="5">
        <v>1.8100000000000002E-2</v>
      </c>
      <c r="O16" s="2">
        <v>23957</v>
      </c>
      <c r="P16" s="2" t="s">
        <v>28</v>
      </c>
      <c r="Q16" s="2">
        <v>0</v>
      </c>
      <c r="R16" s="2">
        <v>0</v>
      </c>
      <c r="S16" s="2">
        <v>0</v>
      </c>
      <c r="T16" s="2">
        <v>0</v>
      </c>
      <c r="U16" s="1">
        <v>19</v>
      </c>
      <c r="V16" s="1" t="s">
        <v>215</v>
      </c>
      <c r="W16" s="1" t="s">
        <v>28</v>
      </c>
      <c r="X16" s="1" t="s">
        <v>199</v>
      </c>
      <c r="Y16" s="1" t="s">
        <v>200</v>
      </c>
      <c r="Z16" s="1">
        <v>20903278</v>
      </c>
    </row>
    <row r="17" spans="1:26" x14ac:dyDescent="0.75">
      <c r="A17" s="3">
        <v>10905</v>
      </c>
      <c r="B17" s="3" t="s">
        <v>29</v>
      </c>
      <c r="C17" s="4">
        <v>44630</v>
      </c>
      <c r="D17" s="3">
        <v>1948798</v>
      </c>
      <c r="E17" s="6">
        <f t="shared" si="0"/>
        <v>1.1833173241046147</v>
      </c>
      <c r="F17" s="3">
        <v>29100</v>
      </c>
      <c r="G17" s="6">
        <f t="shared" si="1"/>
        <v>1.7669627191450463E-2</v>
      </c>
      <c r="H17" s="3">
        <v>0</v>
      </c>
      <c r="I17" s="3">
        <v>1919698</v>
      </c>
      <c r="J17" s="3">
        <v>327</v>
      </c>
      <c r="K17" s="3">
        <v>3</v>
      </c>
      <c r="L17" s="3">
        <v>0</v>
      </c>
      <c r="N17" s="5">
        <v>1.49E-2</v>
      </c>
      <c r="O17" s="2">
        <v>12815</v>
      </c>
      <c r="P17" s="2" t="s">
        <v>29</v>
      </c>
      <c r="Q17" s="2">
        <v>0</v>
      </c>
      <c r="R17" s="2">
        <v>0</v>
      </c>
      <c r="S17" s="2">
        <v>0</v>
      </c>
      <c r="T17" s="2">
        <v>0</v>
      </c>
      <c r="U17" s="1">
        <v>20</v>
      </c>
      <c r="V17" s="1" t="s">
        <v>216</v>
      </c>
      <c r="W17" s="1" t="s">
        <v>29</v>
      </c>
      <c r="X17" s="1" t="s">
        <v>199</v>
      </c>
      <c r="Y17" s="1" t="s">
        <v>200</v>
      </c>
      <c r="Z17" s="1">
        <v>164689383</v>
      </c>
    </row>
    <row r="18" spans="1:26" x14ac:dyDescent="0.75">
      <c r="A18" s="3">
        <v>20253</v>
      </c>
      <c r="B18" s="3" t="s">
        <v>30</v>
      </c>
      <c r="C18" s="4">
        <v>44630</v>
      </c>
      <c r="D18" s="3">
        <v>1109581</v>
      </c>
      <c r="E18" s="6">
        <f t="shared" si="0"/>
        <v>16.017538176556251</v>
      </c>
      <c r="F18" s="3">
        <v>36028</v>
      </c>
      <c r="G18" s="6">
        <f t="shared" si="1"/>
        <v>0.52008809219423247</v>
      </c>
      <c r="H18" s="3">
        <v>0</v>
      </c>
      <c r="I18" s="3">
        <v>1073553</v>
      </c>
      <c r="J18" s="3">
        <v>1693</v>
      </c>
      <c r="K18" s="3">
        <v>33</v>
      </c>
      <c r="L18" s="3">
        <v>0</v>
      </c>
      <c r="N18" s="5">
        <v>3.2500000000000001E-2</v>
      </c>
      <c r="O18" s="2">
        <v>23259</v>
      </c>
      <c r="P18" s="2" t="s">
        <v>30</v>
      </c>
      <c r="Q18" s="2">
        <v>0</v>
      </c>
      <c r="R18" s="2">
        <v>0</v>
      </c>
      <c r="S18" s="2">
        <v>9.17</v>
      </c>
      <c r="T18" s="2">
        <v>0</v>
      </c>
      <c r="U18" s="1">
        <v>21</v>
      </c>
      <c r="V18" s="1" t="s">
        <v>217</v>
      </c>
      <c r="W18" s="1" t="s">
        <v>30</v>
      </c>
      <c r="X18" s="1" t="s">
        <v>199</v>
      </c>
      <c r="Y18" s="1" t="s">
        <v>200</v>
      </c>
      <c r="Z18" s="1">
        <v>6927288</v>
      </c>
    </row>
    <row r="19" spans="1:26" x14ac:dyDescent="0.75">
      <c r="A19" s="3">
        <v>10126</v>
      </c>
      <c r="B19" s="3" t="s">
        <v>31</v>
      </c>
      <c r="C19" s="4">
        <v>44630</v>
      </c>
      <c r="D19" s="3">
        <v>533748</v>
      </c>
      <c r="E19" s="6">
        <f t="shared" si="0"/>
        <v>31.367732282233661</v>
      </c>
      <c r="F19" s="3">
        <v>1462</v>
      </c>
      <c r="G19" s="6">
        <f t="shared" si="1"/>
        <v>8.5919993323863728E-2</v>
      </c>
      <c r="H19" s="3">
        <v>0</v>
      </c>
      <c r="I19" s="3">
        <v>532286</v>
      </c>
      <c r="J19" s="3">
        <v>1483</v>
      </c>
      <c r="K19" s="3">
        <v>0</v>
      </c>
      <c r="L19" s="3">
        <v>0</v>
      </c>
      <c r="N19" s="5">
        <v>2.7000000000000001E-3</v>
      </c>
      <c r="O19" s="2">
        <v>12110</v>
      </c>
      <c r="P19" s="2" t="s">
        <v>31</v>
      </c>
      <c r="Q19" s="2">
        <v>70.13</v>
      </c>
      <c r="R19" s="2">
        <v>70.13</v>
      </c>
      <c r="S19" s="2">
        <v>54.07</v>
      </c>
      <c r="T19" s="2">
        <v>29.87</v>
      </c>
      <c r="U19" s="1">
        <v>22</v>
      </c>
      <c r="V19" s="1" t="s">
        <v>218</v>
      </c>
      <c r="W19" s="1" t="s">
        <v>31</v>
      </c>
      <c r="X19" s="1" t="s">
        <v>199</v>
      </c>
      <c r="Y19" s="1" t="s">
        <v>200</v>
      </c>
      <c r="Z19" s="1">
        <v>1701583</v>
      </c>
    </row>
    <row r="20" spans="1:26" x14ac:dyDescent="0.75">
      <c r="A20" s="3">
        <v>9347</v>
      </c>
      <c r="B20" s="3" t="s">
        <v>32</v>
      </c>
      <c r="C20" s="4">
        <v>44630</v>
      </c>
      <c r="D20" s="3">
        <v>33188</v>
      </c>
      <c r="E20" s="6">
        <f t="shared" si="0"/>
        <v>8.4394580519163469</v>
      </c>
      <c r="F20" s="3">
        <v>771</v>
      </c>
      <c r="G20" s="6">
        <f t="shared" si="1"/>
        <v>0.1960594840914639</v>
      </c>
      <c r="H20" s="3">
        <v>0</v>
      </c>
      <c r="I20" s="3">
        <v>32417</v>
      </c>
      <c r="J20" s="3">
        <v>8</v>
      </c>
      <c r="K20" s="3">
        <v>0</v>
      </c>
      <c r="L20" s="3">
        <v>0</v>
      </c>
      <c r="N20" s="5">
        <v>2.3199999999999998E-2</v>
      </c>
      <c r="O20" s="2">
        <v>11397</v>
      </c>
      <c r="P20" s="2" t="s">
        <v>32</v>
      </c>
      <c r="Q20" s="2">
        <v>0</v>
      </c>
      <c r="R20" s="2">
        <v>0</v>
      </c>
      <c r="S20" s="2">
        <v>0</v>
      </c>
      <c r="T20" s="2">
        <v>0</v>
      </c>
      <c r="U20" s="1">
        <v>23</v>
      </c>
      <c r="V20" s="1" t="s">
        <v>219</v>
      </c>
      <c r="W20" s="1" t="s">
        <v>32</v>
      </c>
      <c r="X20" s="1" t="s">
        <v>199</v>
      </c>
      <c r="Y20" s="1" t="s">
        <v>200</v>
      </c>
      <c r="Z20" s="1">
        <v>393248</v>
      </c>
    </row>
    <row r="21" spans="1:26" x14ac:dyDescent="0.75">
      <c r="A21" s="3">
        <v>17137</v>
      </c>
      <c r="B21" s="3" t="s">
        <v>33</v>
      </c>
      <c r="C21" s="4">
        <v>44630</v>
      </c>
      <c r="D21" s="3">
        <v>372962</v>
      </c>
      <c r="E21" s="6">
        <f t="shared" si="0"/>
        <v>11.367968020141337</v>
      </c>
      <c r="F21" s="3">
        <v>15610</v>
      </c>
      <c r="G21" s="6">
        <f t="shared" si="1"/>
        <v>0.47579641034316167</v>
      </c>
      <c r="H21" s="3">
        <v>0</v>
      </c>
      <c r="I21" s="3">
        <v>357352</v>
      </c>
      <c r="J21" s="3">
        <v>145</v>
      </c>
      <c r="K21" s="3">
        <v>11</v>
      </c>
      <c r="L21" s="3">
        <v>0</v>
      </c>
      <c r="N21" s="5">
        <v>4.19E-2</v>
      </c>
      <c r="O21" s="2">
        <v>19791</v>
      </c>
      <c r="P21" s="2" t="s">
        <v>33</v>
      </c>
      <c r="Q21" s="2">
        <v>0</v>
      </c>
      <c r="R21" s="2">
        <v>0</v>
      </c>
      <c r="S21" s="2">
        <v>0</v>
      </c>
      <c r="T21" s="2">
        <v>0</v>
      </c>
      <c r="U21" s="1">
        <v>24</v>
      </c>
      <c r="V21" s="1" t="s">
        <v>220</v>
      </c>
      <c r="W21" s="1" t="s">
        <v>33</v>
      </c>
      <c r="X21" s="1" t="s">
        <v>199</v>
      </c>
      <c r="Y21" s="1" t="s">
        <v>200</v>
      </c>
      <c r="Z21" s="1">
        <v>3280815</v>
      </c>
    </row>
    <row r="22" spans="1:26" x14ac:dyDescent="0.75">
      <c r="A22" s="3">
        <v>12463</v>
      </c>
      <c r="B22" s="3" t="s">
        <v>34</v>
      </c>
      <c r="C22" s="4">
        <v>44630</v>
      </c>
      <c r="D22" s="3">
        <v>935684</v>
      </c>
      <c r="E22" s="6">
        <f t="shared" si="0"/>
        <v>9.9552913911589922</v>
      </c>
      <c r="F22" s="3">
        <v>6618</v>
      </c>
      <c r="G22" s="6">
        <f t="shared" si="1"/>
        <v>7.0412787251561651E-2</v>
      </c>
      <c r="H22" s="3">
        <v>0</v>
      </c>
      <c r="I22" s="3">
        <v>929066</v>
      </c>
      <c r="J22" s="3">
        <v>1497</v>
      </c>
      <c r="K22" s="3">
        <v>10</v>
      </c>
      <c r="L22" s="3">
        <v>0</v>
      </c>
      <c r="N22" s="5">
        <v>7.1000000000000004E-3</v>
      </c>
      <c r="O22" s="2">
        <v>14215</v>
      </c>
      <c r="P22" s="2" t="s">
        <v>34</v>
      </c>
      <c r="Q22" s="2">
        <v>0</v>
      </c>
      <c r="R22" s="2">
        <v>0</v>
      </c>
      <c r="S22" s="2">
        <v>0</v>
      </c>
      <c r="T22" s="2">
        <v>0</v>
      </c>
      <c r="U22" s="1">
        <v>25</v>
      </c>
      <c r="V22" s="1" t="s">
        <v>221</v>
      </c>
      <c r="W22" s="1" t="s">
        <v>34</v>
      </c>
      <c r="X22" s="1" t="s">
        <v>199</v>
      </c>
      <c r="Y22" s="1" t="s">
        <v>200</v>
      </c>
      <c r="Z22" s="1">
        <v>9398861</v>
      </c>
    </row>
    <row r="23" spans="1:26" x14ac:dyDescent="0.75">
      <c r="A23" s="3">
        <v>14021</v>
      </c>
      <c r="B23" s="3" t="s">
        <v>35</v>
      </c>
      <c r="C23" s="4">
        <v>44630</v>
      </c>
      <c r="D23" s="3">
        <v>57003</v>
      </c>
      <c r="E23" s="6">
        <f t="shared" si="0"/>
        <v>14.336013439934009</v>
      </c>
      <c r="F23" s="3">
        <v>652</v>
      </c>
      <c r="G23" s="6">
        <f t="shared" si="1"/>
        <v>0.16397524275629305</v>
      </c>
      <c r="H23" s="3">
        <v>0</v>
      </c>
      <c r="I23" s="3">
        <v>56351</v>
      </c>
      <c r="J23" s="3">
        <v>27</v>
      </c>
      <c r="K23" s="3">
        <v>0</v>
      </c>
      <c r="L23" s="3">
        <v>0</v>
      </c>
      <c r="N23" s="5">
        <v>1.14E-2</v>
      </c>
      <c r="O23" s="2">
        <v>15633</v>
      </c>
      <c r="P23" s="2" t="s">
        <v>35</v>
      </c>
      <c r="Q23" s="2">
        <v>0</v>
      </c>
      <c r="R23" s="2">
        <v>0</v>
      </c>
      <c r="S23" s="2">
        <v>0</v>
      </c>
      <c r="T23" s="2">
        <v>0</v>
      </c>
      <c r="U23" s="1">
        <v>26</v>
      </c>
      <c r="V23" s="1" t="s">
        <v>222</v>
      </c>
      <c r="W23" s="1" t="s">
        <v>35</v>
      </c>
      <c r="X23" s="1" t="s">
        <v>199</v>
      </c>
      <c r="Y23" s="1" t="s">
        <v>200</v>
      </c>
      <c r="Z23" s="1">
        <v>397621</v>
      </c>
    </row>
    <row r="24" spans="1:26" x14ac:dyDescent="0.75">
      <c r="A24" s="3">
        <v>16358</v>
      </c>
      <c r="B24" s="3" t="s">
        <v>36</v>
      </c>
      <c r="C24" s="4">
        <v>44630</v>
      </c>
      <c r="D24" s="3">
        <v>896744</v>
      </c>
      <c r="E24" s="6">
        <f t="shared" si="0"/>
        <v>7.6821877166586328</v>
      </c>
      <c r="F24" s="3">
        <v>21472</v>
      </c>
      <c r="G24" s="6">
        <f t="shared" si="1"/>
        <v>0.18394540097518819</v>
      </c>
      <c r="H24" s="3">
        <v>0</v>
      </c>
      <c r="I24" s="3">
        <v>875272</v>
      </c>
      <c r="J24" s="3">
        <v>429</v>
      </c>
      <c r="K24" s="3">
        <v>2</v>
      </c>
      <c r="L24" s="3">
        <v>0</v>
      </c>
      <c r="N24" s="5">
        <v>2.3900000000000001E-2</v>
      </c>
      <c r="O24" s="2">
        <v>18413</v>
      </c>
      <c r="P24" s="2" t="s">
        <v>36</v>
      </c>
      <c r="Q24" s="2">
        <v>0</v>
      </c>
      <c r="R24" s="2">
        <v>0</v>
      </c>
      <c r="S24" s="2">
        <v>0</v>
      </c>
      <c r="T24" s="2">
        <v>0</v>
      </c>
      <c r="U24" s="1">
        <v>28</v>
      </c>
      <c r="V24" s="1" t="s">
        <v>223</v>
      </c>
      <c r="W24" s="1" t="s">
        <v>36</v>
      </c>
      <c r="X24" s="1" t="s">
        <v>199</v>
      </c>
      <c r="Y24" s="1" t="s">
        <v>200</v>
      </c>
      <c r="Z24" s="1">
        <v>11673029</v>
      </c>
    </row>
    <row r="25" spans="1:26" x14ac:dyDescent="0.75">
      <c r="A25" s="3">
        <v>18695</v>
      </c>
      <c r="B25" s="3" t="s">
        <v>37</v>
      </c>
      <c r="C25" s="4">
        <v>44630</v>
      </c>
      <c r="D25" s="3">
        <v>29259206</v>
      </c>
      <c r="E25" s="6">
        <f t="shared" si="0"/>
        <v>13.765189759254554</v>
      </c>
      <c r="F25" s="3">
        <v>654380</v>
      </c>
      <c r="G25" s="6">
        <f t="shared" si="1"/>
        <v>0.30785746115807083</v>
      </c>
      <c r="H25" s="3">
        <v>0</v>
      </c>
      <c r="I25" s="3">
        <v>28604826</v>
      </c>
      <c r="J25" s="3">
        <v>61105</v>
      </c>
      <c r="K25" s="3">
        <v>613</v>
      </c>
      <c r="L25" s="3">
        <v>0</v>
      </c>
      <c r="N25" s="5">
        <v>2.24E-2</v>
      </c>
      <c r="O25" s="2">
        <v>21180</v>
      </c>
      <c r="P25" s="2" t="s">
        <v>37</v>
      </c>
      <c r="Q25" s="2">
        <v>80.430000000000007</v>
      </c>
      <c r="R25" s="2">
        <v>80.430000000000007</v>
      </c>
      <c r="S25" s="2">
        <v>23.71</v>
      </c>
      <c r="T25" s="2">
        <v>19.57</v>
      </c>
      <c r="U25" s="1">
        <v>29</v>
      </c>
      <c r="V25" s="1" t="s">
        <v>224</v>
      </c>
      <c r="W25" s="1" t="s">
        <v>37</v>
      </c>
      <c r="X25" s="1" t="s">
        <v>199</v>
      </c>
      <c r="Y25" s="1" t="s">
        <v>200</v>
      </c>
      <c r="Z25" s="1">
        <v>212559409</v>
      </c>
    </row>
    <row r="26" spans="1:26" x14ac:dyDescent="0.75">
      <c r="A26" s="3">
        <v>11684</v>
      </c>
      <c r="B26" s="3" t="s">
        <v>38</v>
      </c>
      <c r="C26" s="4">
        <v>44630</v>
      </c>
      <c r="D26" s="3">
        <v>56679</v>
      </c>
      <c r="E26" s="6">
        <f t="shared" si="0"/>
        <v>19.723284534625972</v>
      </c>
      <c r="F26" s="3">
        <v>323</v>
      </c>
      <c r="G26" s="6">
        <f t="shared" si="1"/>
        <v>0.11239825869694575</v>
      </c>
      <c r="H26" s="3">
        <v>0</v>
      </c>
      <c r="I26" s="3">
        <v>56356</v>
      </c>
      <c r="J26" s="3">
        <v>128</v>
      </c>
      <c r="K26" s="3">
        <v>0</v>
      </c>
      <c r="L26" s="3">
        <v>0</v>
      </c>
      <c r="N26" s="5">
        <v>5.7000000000000002E-3</v>
      </c>
      <c r="O26" s="2">
        <v>13506</v>
      </c>
      <c r="P26" s="2" t="s">
        <v>38</v>
      </c>
      <c r="Q26" s="2">
        <v>0</v>
      </c>
      <c r="R26" s="2">
        <v>0</v>
      </c>
      <c r="S26" s="2">
        <v>0</v>
      </c>
      <c r="T26" s="2">
        <v>0</v>
      </c>
      <c r="U26" s="1">
        <v>30</v>
      </c>
      <c r="V26" s="1" t="s">
        <v>225</v>
      </c>
      <c r="W26" s="1" t="s">
        <v>38</v>
      </c>
      <c r="X26" s="1" t="s">
        <v>199</v>
      </c>
      <c r="Y26" s="1" t="s">
        <v>200</v>
      </c>
      <c r="Z26" s="1">
        <v>287371</v>
      </c>
    </row>
    <row r="27" spans="1:26" x14ac:dyDescent="0.75">
      <c r="A27" s="3">
        <v>19474</v>
      </c>
      <c r="B27" s="3" t="s">
        <v>39</v>
      </c>
      <c r="C27" s="4">
        <v>44630</v>
      </c>
      <c r="D27" s="3">
        <v>104022</v>
      </c>
      <c r="E27" s="6">
        <f t="shared" si="0"/>
        <v>23.777381063949914</v>
      </c>
      <c r="F27" s="3">
        <v>156</v>
      </c>
      <c r="G27" s="6">
        <f t="shared" si="1"/>
        <v>3.5658528445676747E-2</v>
      </c>
      <c r="H27" s="3">
        <v>0</v>
      </c>
      <c r="I27" s="3">
        <v>103866</v>
      </c>
      <c r="J27" s="3">
        <v>3849</v>
      </c>
      <c r="K27" s="3">
        <v>1</v>
      </c>
      <c r="L27" s="3">
        <v>0</v>
      </c>
      <c r="N27" s="5">
        <v>1.5E-3</v>
      </c>
      <c r="O27" s="2">
        <v>22559</v>
      </c>
      <c r="P27" s="2" t="s">
        <v>39</v>
      </c>
      <c r="Q27" s="2">
        <v>0</v>
      </c>
      <c r="R27" s="2">
        <v>0</v>
      </c>
      <c r="S27" s="2">
        <v>0</v>
      </c>
      <c r="T27" s="2">
        <v>0</v>
      </c>
      <c r="U27" s="1">
        <v>31</v>
      </c>
      <c r="V27" s="1" t="s">
        <v>226</v>
      </c>
      <c r="W27" s="1" t="s">
        <v>39</v>
      </c>
      <c r="X27" s="1" t="s">
        <v>199</v>
      </c>
      <c r="Y27" s="1" t="s">
        <v>200</v>
      </c>
      <c r="Z27" s="1">
        <v>437483</v>
      </c>
    </row>
    <row r="28" spans="1:26" x14ac:dyDescent="0.75">
      <c r="A28" s="3">
        <v>15579</v>
      </c>
      <c r="B28" s="3" t="s">
        <v>40</v>
      </c>
      <c r="C28" s="4">
        <v>44630</v>
      </c>
      <c r="D28" s="3">
        <v>16277</v>
      </c>
      <c r="E28" s="6">
        <f t="shared" si="0"/>
        <v>2.1094798940400095</v>
      </c>
      <c r="F28" s="3">
        <v>7</v>
      </c>
      <c r="G28" s="6">
        <f t="shared" si="1"/>
        <v>9.0719169738158554E-4</v>
      </c>
      <c r="H28" s="3">
        <v>0</v>
      </c>
      <c r="I28" s="3">
        <v>16270</v>
      </c>
      <c r="J28" s="3">
        <v>331</v>
      </c>
      <c r="K28" s="3">
        <v>0</v>
      </c>
      <c r="L28" s="3">
        <v>0</v>
      </c>
      <c r="N28" s="5">
        <v>4.0000000000000002E-4</v>
      </c>
      <c r="O28" s="2">
        <v>17716</v>
      </c>
      <c r="P28" s="2" t="s">
        <v>40</v>
      </c>
      <c r="Q28" s="2">
        <v>0</v>
      </c>
      <c r="R28" s="2">
        <v>0</v>
      </c>
      <c r="S28" s="2">
        <v>0</v>
      </c>
      <c r="T28" s="2">
        <v>0</v>
      </c>
      <c r="U28" s="1">
        <v>32</v>
      </c>
      <c r="V28" s="1" t="s">
        <v>227</v>
      </c>
      <c r="W28" s="1" t="s">
        <v>40</v>
      </c>
      <c r="X28" s="1" t="s">
        <v>199</v>
      </c>
      <c r="Y28" s="1" t="s">
        <v>200</v>
      </c>
      <c r="Z28" s="1">
        <v>771612</v>
      </c>
    </row>
    <row r="29" spans="1:26" x14ac:dyDescent="0.75">
      <c r="A29" s="3">
        <v>17916</v>
      </c>
      <c r="B29" s="3" t="s">
        <v>41</v>
      </c>
      <c r="C29" s="4">
        <v>44630</v>
      </c>
      <c r="D29" s="3">
        <v>263950</v>
      </c>
      <c r="E29" s="6">
        <f t="shared" si="0"/>
        <v>11.224153510870142</v>
      </c>
      <c r="F29" s="3">
        <v>2619</v>
      </c>
      <c r="G29" s="6">
        <f t="shared" si="1"/>
        <v>0.11136979748046563</v>
      </c>
      <c r="H29" s="3">
        <v>0</v>
      </c>
      <c r="I29" s="3">
        <v>261331</v>
      </c>
      <c r="J29" s="3">
        <v>0</v>
      </c>
      <c r="K29" s="3">
        <v>0</v>
      </c>
      <c r="L29" s="3">
        <v>0</v>
      </c>
      <c r="N29" s="5">
        <v>9.9000000000000008E-3</v>
      </c>
      <c r="O29" s="2">
        <v>20469</v>
      </c>
      <c r="P29" s="2" t="s">
        <v>41</v>
      </c>
      <c r="Q29" s="2">
        <v>0</v>
      </c>
      <c r="R29" s="2">
        <v>0</v>
      </c>
      <c r="S29" s="2">
        <v>0</v>
      </c>
      <c r="T29" s="2">
        <v>0</v>
      </c>
      <c r="U29" s="1">
        <v>33</v>
      </c>
      <c r="V29" s="1" t="s">
        <v>228</v>
      </c>
      <c r="W29" s="1" t="s">
        <v>41</v>
      </c>
      <c r="X29" s="1" t="s">
        <v>199</v>
      </c>
      <c r="Y29" s="1" t="s">
        <v>200</v>
      </c>
      <c r="Z29" s="1">
        <v>2351625</v>
      </c>
    </row>
    <row r="30" spans="1:26" x14ac:dyDescent="0.75">
      <c r="A30" s="3">
        <v>24927</v>
      </c>
      <c r="B30" s="3" t="s">
        <v>42</v>
      </c>
      <c r="C30" s="4">
        <v>44630</v>
      </c>
      <c r="D30" s="3">
        <v>14320</v>
      </c>
      <c r="E30" s="6">
        <f t="shared" si="0"/>
        <v>0.29649481838035979</v>
      </c>
      <c r="F30" s="3">
        <v>113</v>
      </c>
      <c r="G30" s="6">
        <f t="shared" si="1"/>
        <v>2.3396588321913867E-3</v>
      </c>
      <c r="H30" s="3">
        <v>0</v>
      </c>
      <c r="I30" s="3">
        <v>14207</v>
      </c>
      <c r="J30" s="3">
        <v>0</v>
      </c>
      <c r="K30" s="3">
        <v>0</v>
      </c>
      <c r="L30" s="3">
        <v>0</v>
      </c>
      <c r="N30" s="5">
        <v>7.9000000000000008E-3</v>
      </c>
      <c r="O30" s="2">
        <v>28895</v>
      </c>
      <c r="P30" s="2" t="s">
        <v>42</v>
      </c>
      <c r="Q30" s="2">
        <v>0</v>
      </c>
      <c r="R30" s="2">
        <v>0</v>
      </c>
      <c r="S30" s="2">
        <v>0</v>
      </c>
      <c r="T30" s="2">
        <v>0</v>
      </c>
      <c r="U30" s="1">
        <v>34</v>
      </c>
      <c r="V30" s="1" t="s">
        <v>229</v>
      </c>
      <c r="W30" s="1" t="s">
        <v>42</v>
      </c>
      <c r="X30" s="1" t="s">
        <v>199</v>
      </c>
      <c r="Y30" s="1" t="s">
        <v>200</v>
      </c>
      <c r="Z30" s="1">
        <v>4829764</v>
      </c>
    </row>
    <row r="31" spans="1:26" x14ac:dyDescent="0.75">
      <c r="A31" s="3">
        <v>24148</v>
      </c>
      <c r="B31" s="3" t="s">
        <v>43</v>
      </c>
      <c r="C31" s="4">
        <v>44630</v>
      </c>
      <c r="D31" s="3">
        <v>3361354</v>
      </c>
      <c r="E31" s="6">
        <f t="shared" si="0"/>
        <v>8.8444492835434936</v>
      </c>
      <c r="F31" s="3">
        <v>37261</v>
      </c>
      <c r="G31" s="6">
        <f t="shared" si="1"/>
        <v>9.804174887682586E-2</v>
      </c>
      <c r="H31" s="3">
        <v>0</v>
      </c>
      <c r="I31" s="3">
        <v>3324093</v>
      </c>
      <c r="J31" s="3">
        <v>4927</v>
      </c>
      <c r="K31" s="3">
        <v>54</v>
      </c>
      <c r="L31" s="3">
        <v>0</v>
      </c>
      <c r="N31" s="5">
        <v>1.11E-2</v>
      </c>
      <c r="O31" s="2">
        <v>26819</v>
      </c>
      <c r="P31" s="2" t="s">
        <v>43</v>
      </c>
      <c r="Q31" s="2">
        <v>85.11</v>
      </c>
      <c r="R31" s="2">
        <v>85.11</v>
      </c>
      <c r="S31" s="2">
        <v>42.38</v>
      </c>
      <c r="T31" s="2">
        <v>14.89</v>
      </c>
      <c r="U31" s="1">
        <v>35</v>
      </c>
      <c r="V31" s="1" t="s">
        <v>230</v>
      </c>
      <c r="W31" s="1" t="s">
        <v>43</v>
      </c>
      <c r="X31" s="1" t="s">
        <v>199</v>
      </c>
      <c r="Y31" s="1" t="s">
        <v>200</v>
      </c>
      <c r="Z31" s="1">
        <v>38005238</v>
      </c>
    </row>
    <row r="32" spans="1:26" x14ac:dyDescent="0.75">
      <c r="A32" s="3">
        <v>125418</v>
      </c>
      <c r="B32" s="3" t="s">
        <v>44</v>
      </c>
      <c r="C32" s="4">
        <v>44630</v>
      </c>
      <c r="D32" s="3">
        <v>3040668</v>
      </c>
      <c r="E32" s="6">
        <f t="shared" si="0"/>
        <v>35.205564591723693</v>
      </c>
      <c r="F32" s="3">
        <v>13231</v>
      </c>
      <c r="G32" s="6">
        <f t="shared" si="1"/>
        <v>0.15319160957825589</v>
      </c>
      <c r="H32" s="3">
        <v>0</v>
      </c>
      <c r="I32" s="3">
        <v>3027437</v>
      </c>
      <c r="J32" s="3">
        <v>32131</v>
      </c>
      <c r="K32" s="3">
        <v>18</v>
      </c>
      <c r="L32" s="3">
        <v>0</v>
      </c>
      <c r="N32" s="5">
        <v>4.4000000000000003E-3</v>
      </c>
      <c r="O32" s="2">
        <v>139699</v>
      </c>
      <c r="P32" s="2" t="s">
        <v>44</v>
      </c>
      <c r="Q32" s="2">
        <v>0</v>
      </c>
      <c r="R32" s="2">
        <v>0</v>
      </c>
      <c r="S32" s="2">
        <v>0</v>
      </c>
      <c r="T32" s="2">
        <v>0</v>
      </c>
      <c r="U32" s="1">
        <v>37</v>
      </c>
      <c r="V32" s="1" t="s">
        <v>231</v>
      </c>
      <c r="W32" s="1" t="s">
        <v>44</v>
      </c>
      <c r="X32" s="1" t="s">
        <v>199</v>
      </c>
      <c r="Y32" s="1" t="s">
        <v>200</v>
      </c>
      <c r="Z32" s="1">
        <v>8636896</v>
      </c>
    </row>
    <row r="33" spans="1:26" x14ac:dyDescent="0.75">
      <c r="A33" s="3">
        <v>26485</v>
      </c>
      <c r="B33" s="3" t="s">
        <v>45</v>
      </c>
      <c r="C33" s="4">
        <v>44630</v>
      </c>
      <c r="D33" s="3">
        <v>3249890</v>
      </c>
      <c r="E33" s="6">
        <f t="shared" si="0"/>
        <v>17.000703434451882</v>
      </c>
      <c r="F33" s="3">
        <v>43527</v>
      </c>
      <c r="G33" s="6">
        <f t="shared" si="1"/>
        <v>0.22769682001279648</v>
      </c>
      <c r="H33" s="3">
        <v>0</v>
      </c>
      <c r="I33" s="3">
        <v>3206363</v>
      </c>
      <c r="J33" s="3">
        <v>19097</v>
      </c>
      <c r="K33" s="3">
        <v>244</v>
      </c>
      <c r="L33" s="3">
        <v>0</v>
      </c>
      <c r="N33" s="5">
        <v>1.34E-2</v>
      </c>
      <c r="O33" s="2">
        <v>30298</v>
      </c>
      <c r="P33" s="2" t="s">
        <v>45</v>
      </c>
      <c r="Q33" s="2">
        <v>0</v>
      </c>
      <c r="R33" s="2">
        <v>0</v>
      </c>
      <c r="S33" s="2">
        <v>0</v>
      </c>
      <c r="T33" s="2">
        <v>0</v>
      </c>
      <c r="U33" s="1">
        <v>39</v>
      </c>
      <c r="V33" s="1" t="s">
        <v>232</v>
      </c>
      <c r="W33" s="1" t="s">
        <v>45</v>
      </c>
      <c r="X33" s="1" t="s">
        <v>199</v>
      </c>
      <c r="Y33" s="1" t="s">
        <v>200</v>
      </c>
      <c r="Z33" s="1">
        <v>19116209</v>
      </c>
    </row>
    <row r="34" spans="1:26" x14ac:dyDescent="0.75">
      <c r="A34" s="3">
        <v>27264</v>
      </c>
      <c r="B34" s="3" t="s">
        <v>46</v>
      </c>
      <c r="C34" s="4">
        <v>44630</v>
      </c>
      <c r="D34" s="3">
        <v>688645</v>
      </c>
      <c r="E34" s="6">
        <f t="shared" si="0"/>
        <v>4.9114835334124522E-2</v>
      </c>
      <c r="F34" s="3">
        <v>7786</v>
      </c>
      <c r="G34" s="6">
        <f t="shared" si="1"/>
        <v>5.553051396750046E-4</v>
      </c>
      <c r="H34" s="3">
        <v>0</v>
      </c>
      <c r="I34" s="3">
        <v>680859</v>
      </c>
      <c r="J34" s="3">
        <v>25180</v>
      </c>
      <c r="K34" s="3">
        <v>281</v>
      </c>
      <c r="L34" s="3">
        <v>0</v>
      </c>
      <c r="N34" s="5">
        <v>1.1299999999999999E-2</v>
      </c>
      <c r="O34" s="2">
        <v>31044</v>
      </c>
      <c r="P34" s="2" t="s">
        <v>46</v>
      </c>
      <c r="Q34" s="2">
        <v>0</v>
      </c>
      <c r="R34" s="2">
        <v>0</v>
      </c>
      <c r="S34" s="2">
        <v>0</v>
      </c>
      <c r="T34" s="2">
        <v>0</v>
      </c>
      <c r="U34" s="1">
        <v>40</v>
      </c>
      <c r="V34" s="1" t="s">
        <v>233</v>
      </c>
      <c r="W34" s="1" t="s">
        <v>46</v>
      </c>
      <c r="X34" s="1" t="s">
        <v>199</v>
      </c>
      <c r="Y34" s="1" t="s">
        <v>200</v>
      </c>
      <c r="Z34" s="1">
        <v>1402112000</v>
      </c>
    </row>
    <row r="35" spans="1:26" x14ac:dyDescent="0.75">
      <c r="A35" s="3">
        <v>30380</v>
      </c>
      <c r="B35" s="3" t="s">
        <v>47</v>
      </c>
      <c r="C35" s="4">
        <v>44630</v>
      </c>
      <c r="D35" s="3">
        <v>81571</v>
      </c>
      <c r="E35" s="6">
        <f t="shared" si="0"/>
        <v>0.30923553568229917</v>
      </c>
      <c r="F35" s="3">
        <v>795</v>
      </c>
      <c r="G35" s="6">
        <f t="shared" si="1"/>
        <v>3.0138437786398089E-3</v>
      </c>
      <c r="H35" s="3">
        <v>0</v>
      </c>
      <c r="I35" s="3">
        <v>80776</v>
      </c>
      <c r="J35" s="3">
        <v>0</v>
      </c>
      <c r="K35" s="3">
        <v>0</v>
      </c>
      <c r="L35" s="3">
        <v>0</v>
      </c>
      <c r="N35" s="5">
        <v>9.7000000000000003E-3</v>
      </c>
      <c r="O35" s="2">
        <v>34746</v>
      </c>
      <c r="P35" s="2" t="s">
        <v>47</v>
      </c>
      <c r="Q35" s="2">
        <v>0</v>
      </c>
      <c r="R35" s="2">
        <v>0</v>
      </c>
      <c r="S35" s="2">
        <v>0</v>
      </c>
      <c r="T35" s="2">
        <v>0</v>
      </c>
      <c r="U35" s="1">
        <v>41</v>
      </c>
      <c r="V35" s="1" t="s">
        <v>234</v>
      </c>
      <c r="W35" s="1" t="s">
        <v>47</v>
      </c>
      <c r="X35" s="1" t="s">
        <v>199</v>
      </c>
      <c r="Y35" s="1" t="s">
        <v>200</v>
      </c>
      <c r="Z35" s="1">
        <v>26378275</v>
      </c>
    </row>
    <row r="36" spans="1:26" x14ac:dyDescent="0.75">
      <c r="A36" s="3">
        <v>23369</v>
      </c>
      <c r="B36" s="3" t="s">
        <v>48</v>
      </c>
      <c r="C36" s="4">
        <v>44630</v>
      </c>
      <c r="D36" s="3">
        <v>119322</v>
      </c>
      <c r="E36" s="6">
        <f t="shared" si="0"/>
        <v>0.44949375164432398</v>
      </c>
      <c r="F36" s="3">
        <v>1926</v>
      </c>
      <c r="G36" s="6">
        <f t="shared" si="1"/>
        <v>7.2553675404951976E-3</v>
      </c>
      <c r="H36" s="3">
        <v>0</v>
      </c>
      <c r="I36" s="3">
        <v>117396</v>
      </c>
      <c r="J36" s="3">
        <v>0</v>
      </c>
      <c r="K36" s="3">
        <v>0</v>
      </c>
      <c r="L36" s="3">
        <v>0</v>
      </c>
      <c r="N36" s="5">
        <v>1.61E-2</v>
      </c>
      <c r="O36" s="2">
        <v>26077</v>
      </c>
      <c r="P36" s="2" t="s">
        <v>48</v>
      </c>
      <c r="Q36" s="2">
        <v>0</v>
      </c>
      <c r="R36" s="2">
        <v>0</v>
      </c>
      <c r="S36" s="2">
        <v>0</v>
      </c>
      <c r="T36" s="2">
        <v>0</v>
      </c>
      <c r="U36" s="1">
        <v>42</v>
      </c>
      <c r="V36" s="1" t="s">
        <v>235</v>
      </c>
      <c r="W36" s="1" t="s">
        <v>48</v>
      </c>
      <c r="X36" s="1" t="s">
        <v>199</v>
      </c>
      <c r="Y36" s="1" t="s">
        <v>200</v>
      </c>
      <c r="Z36" s="1">
        <v>26545864</v>
      </c>
    </row>
    <row r="37" spans="1:26" x14ac:dyDescent="0.75">
      <c r="A37" s="3">
        <v>28043</v>
      </c>
      <c r="B37" s="3" t="s">
        <v>49</v>
      </c>
      <c r="C37" s="4">
        <v>44630</v>
      </c>
      <c r="D37" s="3">
        <v>6074874</v>
      </c>
      <c r="E37" s="6">
        <f t="shared" si="0"/>
        <v>11.938934121737283</v>
      </c>
      <c r="F37" s="3">
        <v>139220</v>
      </c>
      <c r="G37" s="6">
        <f t="shared" si="1"/>
        <v>0.27360870504116863</v>
      </c>
      <c r="H37" s="3">
        <v>0</v>
      </c>
      <c r="I37" s="3">
        <v>5935654</v>
      </c>
      <c r="J37" s="3">
        <v>719</v>
      </c>
      <c r="K37" s="3">
        <v>31</v>
      </c>
      <c r="L37" s="3">
        <v>0</v>
      </c>
      <c r="N37" s="5">
        <v>2.29E-2</v>
      </c>
      <c r="O37" s="2">
        <v>31746</v>
      </c>
      <c r="P37" s="2" t="s">
        <v>49</v>
      </c>
      <c r="Q37" s="2">
        <v>0</v>
      </c>
      <c r="R37" s="2">
        <v>0</v>
      </c>
      <c r="S37" s="2">
        <v>0</v>
      </c>
      <c r="T37" s="2">
        <v>0</v>
      </c>
      <c r="U37" s="1">
        <v>45</v>
      </c>
      <c r="V37" s="1" t="s">
        <v>236</v>
      </c>
      <c r="W37" s="1" t="s">
        <v>49</v>
      </c>
      <c r="X37" s="1" t="s">
        <v>199</v>
      </c>
      <c r="Y37" s="1" t="s">
        <v>200</v>
      </c>
      <c r="Z37" s="1">
        <v>50882884</v>
      </c>
    </row>
    <row r="38" spans="1:26" x14ac:dyDescent="0.75">
      <c r="A38" s="3">
        <v>28822</v>
      </c>
      <c r="B38" s="3" t="s">
        <v>50</v>
      </c>
      <c r="C38" s="4">
        <v>44630</v>
      </c>
      <c r="D38" s="3">
        <v>8057</v>
      </c>
      <c r="E38" s="6">
        <f t="shared" si="0"/>
        <v>0.92652326657811979</v>
      </c>
      <c r="F38" s="3">
        <v>160</v>
      </c>
      <c r="G38" s="6">
        <f t="shared" si="1"/>
        <v>1.8399369821583612E-2</v>
      </c>
      <c r="H38" s="3">
        <v>0</v>
      </c>
      <c r="I38" s="3">
        <v>7897</v>
      </c>
      <c r="J38" s="3">
        <v>6</v>
      </c>
      <c r="K38" s="3">
        <v>0</v>
      </c>
      <c r="L38" s="3">
        <v>0</v>
      </c>
      <c r="N38" s="5">
        <v>1.9900000000000001E-2</v>
      </c>
      <c r="O38" s="2">
        <v>32393</v>
      </c>
      <c r="P38" s="2" t="s">
        <v>50</v>
      </c>
      <c r="Q38" s="2">
        <v>0</v>
      </c>
      <c r="R38" s="2">
        <v>0</v>
      </c>
      <c r="S38" s="2">
        <v>0</v>
      </c>
      <c r="T38" s="2">
        <v>0</v>
      </c>
      <c r="U38" s="1">
        <v>46</v>
      </c>
      <c r="V38" s="1" t="s">
        <v>237</v>
      </c>
      <c r="W38" s="1" t="s">
        <v>50</v>
      </c>
      <c r="X38" s="1" t="s">
        <v>199</v>
      </c>
      <c r="Y38" s="1" t="s">
        <v>200</v>
      </c>
      <c r="Z38" s="1">
        <v>869595</v>
      </c>
    </row>
    <row r="39" spans="1:26" x14ac:dyDescent="0.75">
      <c r="A39" s="3">
        <v>29601</v>
      </c>
      <c r="B39" s="3" t="s">
        <v>51</v>
      </c>
      <c r="C39" s="4">
        <v>44630</v>
      </c>
      <c r="D39" s="3">
        <v>821813</v>
      </c>
      <c r="E39" s="6">
        <f t="shared" si="0"/>
        <v>16.132599309713129</v>
      </c>
      <c r="F39" s="3">
        <v>8149</v>
      </c>
      <c r="G39" s="6">
        <f t="shared" si="1"/>
        <v>0.15996893669831497</v>
      </c>
      <c r="H39" s="3">
        <v>0</v>
      </c>
      <c r="I39" s="3">
        <v>813664</v>
      </c>
      <c r="J39" s="3">
        <v>1368</v>
      </c>
      <c r="K39" s="3">
        <v>7</v>
      </c>
      <c r="L39" s="3">
        <v>0</v>
      </c>
      <c r="N39" s="5">
        <v>9.9000000000000008E-3</v>
      </c>
      <c r="O39" s="2">
        <v>34049</v>
      </c>
      <c r="P39" s="2" t="s">
        <v>51</v>
      </c>
      <c r="Q39" s="2">
        <v>0</v>
      </c>
      <c r="R39" s="2">
        <v>0</v>
      </c>
      <c r="S39" s="2">
        <v>0</v>
      </c>
      <c r="T39" s="2">
        <v>0</v>
      </c>
      <c r="U39" s="1">
        <v>48</v>
      </c>
      <c r="V39" s="1" t="s">
        <v>238</v>
      </c>
      <c r="W39" s="1" t="s">
        <v>51</v>
      </c>
      <c r="X39" s="1" t="s">
        <v>199</v>
      </c>
      <c r="Y39" s="1" t="s">
        <v>200</v>
      </c>
      <c r="Z39" s="1">
        <v>5094114</v>
      </c>
    </row>
    <row r="40" spans="1:26" x14ac:dyDescent="0.75">
      <c r="A40" s="3">
        <v>31938</v>
      </c>
      <c r="B40" s="3" t="s">
        <v>52</v>
      </c>
      <c r="C40" s="4">
        <v>44630</v>
      </c>
      <c r="D40" s="3">
        <v>1075030</v>
      </c>
      <c r="E40" s="6">
        <f t="shared" si="0"/>
        <v>9.4911843042970645</v>
      </c>
      <c r="F40" s="3">
        <v>8502</v>
      </c>
      <c r="G40" s="6">
        <f t="shared" si="1"/>
        <v>7.5062136828863979E-2</v>
      </c>
      <c r="H40" s="3">
        <v>0</v>
      </c>
      <c r="I40" s="3">
        <v>1066528</v>
      </c>
      <c r="J40" s="3">
        <v>561</v>
      </c>
      <c r="K40" s="3">
        <v>0</v>
      </c>
      <c r="L40" s="3">
        <v>0</v>
      </c>
      <c r="N40" s="5">
        <v>7.9000000000000008E-3</v>
      </c>
      <c r="O40" s="2">
        <v>36154</v>
      </c>
      <c r="P40" s="2" t="s">
        <v>52</v>
      </c>
      <c r="Q40" s="2">
        <v>0</v>
      </c>
      <c r="R40" s="2">
        <v>0</v>
      </c>
      <c r="S40" s="2">
        <v>0</v>
      </c>
      <c r="T40" s="2">
        <v>0</v>
      </c>
      <c r="U40" s="1">
        <v>50</v>
      </c>
      <c r="V40" s="1" t="s">
        <v>239</v>
      </c>
      <c r="W40" s="1" t="s">
        <v>52</v>
      </c>
      <c r="X40" s="1" t="s">
        <v>199</v>
      </c>
      <c r="Y40" s="1" t="s">
        <v>200</v>
      </c>
      <c r="Z40" s="1">
        <v>11326616</v>
      </c>
    </row>
    <row r="41" spans="1:26" x14ac:dyDescent="0.75">
      <c r="A41" s="3">
        <v>32717</v>
      </c>
      <c r="B41" s="3" t="s">
        <v>53</v>
      </c>
      <c r="C41" s="4">
        <v>44630</v>
      </c>
      <c r="D41" s="3">
        <v>344856</v>
      </c>
      <c r="E41" s="6">
        <f t="shared" si="0"/>
        <v>28.562791079055895</v>
      </c>
      <c r="F41" s="3">
        <v>889</v>
      </c>
      <c r="G41" s="6">
        <f t="shared" si="1"/>
        <v>7.3631664431764818E-2</v>
      </c>
      <c r="H41" s="3">
        <v>0</v>
      </c>
      <c r="I41" s="3">
        <v>343967</v>
      </c>
      <c r="J41" s="3">
        <v>3473</v>
      </c>
      <c r="K41" s="3">
        <v>3</v>
      </c>
      <c r="L41" s="3">
        <v>0</v>
      </c>
      <c r="N41" s="5">
        <v>2.5999999999999999E-3</v>
      </c>
      <c r="O41" s="2">
        <v>37548</v>
      </c>
      <c r="P41" s="2" t="s">
        <v>53</v>
      </c>
      <c r="Q41" s="2">
        <v>0</v>
      </c>
      <c r="R41" s="2">
        <v>0</v>
      </c>
      <c r="S41" s="2">
        <v>0</v>
      </c>
      <c r="T41" s="2">
        <v>0</v>
      </c>
      <c r="U41" s="1">
        <v>53</v>
      </c>
      <c r="V41" s="1" t="s">
        <v>240</v>
      </c>
      <c r="W41" s="1" t="s">
        <v>53</v>
      </c>
      <c r="X41" s="1" t="s">
        <v>199</v>
      </c>
      <c r="Y41" s="1" t="s">
        <v>200</v>
      </c>
      <c r="Z41" s="1">
        <v>1207361</v>
      </c>
    </row>
    <row r="42" spans="1:26" x14ac:dyDescent="0.75">
      <c r="A42" s="3">
        <v>33496</v>
      </c>
      <c r="B42" s="3" t="s">
        <v>54</v>
      </c>
      <c r="C42" s="4">
        <v>44630</v>
      </c>
      <c r="D42" s="3">
        <v>3662117</v>
      </c>
      <c r="E42" s="6">
        <f t="shared" si="0"/>
        <v>34.228924180588358</v>
      </c>
      <c r="F42" s="3">
        <v>39068</v>
      </c>
      <c r="G42" s="6">
        <f t="shared" si="1"/>
        <v>0.365159171563122</v>
      </c>
      <c r="H42" s="3">
        <v>0</v>
      </c>
      <c r="I42" s="3">
        <v>3623049</v>
      </c>
      <c r="J42" s="3">
        <v>9076</v>
      </c>
      <c r="K42" s="3">
        <v>36</v>
      </c>
      <c r="L42" s="3">
        <v>0</v>
      </c>
      <c r="N42" s="5">
        <v>1.0699999999999999E-2</v>
      </c>
      <c r="O42" s="2">
        <v>38255</v>
      </c>
      <c r="P42" s="2" t="s">
        <v>54</v>
      </c>
      <c r="Q42" s="2">
        <v>64.64</v>
      </c>
      <c r="R42" s="2">
        <v>64.64</v>
      </c>
      <c r="S42" s="2">
        <v>35.89</v>
      </c>
      <c r="T42" s="2">
        <v>35.36</v>
      </c>
      <c r="U42" s="1">
        <v>54</v>
      </c>
      <c r="V42" s="1" t="s">
        <v>241</v>
      </c>
      <c r="W42" s="1" t="s">
        <v>54</v>
      </c>
      <c r="X42" s="1" t="s">
        <v>199</v>
      </c>
      <c r="Y42" s="1" t="s">
        <v>200</v>
      </c>
      <c r="Z42" s="1">
        <v>10698896</v>
      </c>
    </row>
    <row r="43" spans="1:26" x14ac:dyDescent="0.75">
      <c r="A43" s="3">
        <v>48297</v>
      </c>
      <c r="B43" s="3" t="s">
        <v>55</v>
      </c>
      <c r="C43" s="4">
        <v>44630</v>
      </c>
      <c r="D43" s="3">
        <v>16814429</v>
      </c>
      <c r="E43" s="6">
        <f t="shared" si="0"/>
        <v>20.199811329878084</v>
      </c>
      <c r="F43" s="3">
        <v>125276</v>
      </c>
      <c r="G43" s="6">
        <f t="shared" si="1"/>
        <v>0.150498810525282</v>
      </c>
      <c r="H43" s="3">
        <v>0</v>
      </c>
      <c r="I43" s="3">
        <v>16689153</v>
      </c>
      <c r="J43" s="3">
        <v>225557</v>
      </c>
      <c r="K43" s="3">
        <v>248</v>
      </c>
      <c r="L43" s="3">
        <v>0</v>
      </c>
      <c r="N43" s="5">
        <v>7.4999999999999997E-3</v>
      </c>
      <c r="O43" s="2">
        <v>56012</v>
      </c>
      <c r="P43" s="2" t="s">
        <v>55</v>
      </c>
      <c r="Q43" s="2">
        <v>0</v>
      </c>
      <c r="R43" s="2">
        <v>0</v>
      </c>
      <c r="S43" s="2">
        <v>0</v>
      </c>
      <c r="T43" s="2">
        <v>0</v>
      </c>
      <c r="U43" s="1">
        <v>55</v>
      </c>
      <c r="V43" s="1" t="s">
        <v>242</v>
      </c>
      <c r="W43" s="1" t="s">
        <v>55</v>
      </c>
      <c r="X43" s="1" t="s">
        <v>199</v>
      </c>
      <c r="Y43" s="1" t="s">
        <v>200</v>
      </c>
      <c r="Z43" s="1">
        <v>83240525</v>
      </c>
    </row>
    <row r="44" spans="1:26" x14ac:dyDescent="0.75">
      <c r="A44" s="3">
        <v>35054</v>
      </c>
      <c r="B44" s="3" t="s">
        <v>56</v>
      </c>
      <c r="C44" s="4">
        <v>44630</v>
      </c>
      <c r="D44" s="3">
        <v>15564</v>
      </c>
      <c r="E44" s="6">
        <f t="shared" si="0"/>
        <v>1.5753004548573788</v>
      </c>
      <c r="F44" s="3">
        <v>189</v>
      </c>
      <c r="G44" s="6">
        <f t="shared" si="1"/>
        <v>1.9129515932153982E-2</v>
      </c>
      <c r="H44" s="3">
        <v>0</v>
      </c>
      <c r="I44" s="3">
        <v>15375</v>
      </c>
      <c r="J44" s="3">
        <v>0</v>
      </c>
      <c r="K44" s="3">
        <v>0</v>
      </c>
      <c r="L44" s="3">
        <v>0</v>
      </c>
      <c r="N44" s="5">
        <v>1.21E-2</v>
      </c>
      <c r="O44" s="2">
        <v>40377</v>
      </c>
      <c r="P44" s="2" t="s">
        <v>56</v>
      </c>
      <c r="Q44" s="2">
        <v>0</v>
      </c>
      <c r="R44" s="2">
        <v>0</v>
      </c>
      <c r="S44" s="2">
        <v>0</v>
      </c>
      <c r="T44" s="2">
        <v>0</v>
      </c>
      <c r="U44" s="1">
        <v>56</v>
      </c>
      <c r="V44" s="1" t="s">
        <v>243</v>
      </c>
      <c r="W44" s="1" t="s">
        <v>56</v>
      </c>
      <c r="X44" s="1" t="s">
        <v>199</v>
      </c>
      <c r="Y44" s="1" t="s">
        <v>200</v>
      </c>
      <c r="Z44" s="1">
        <v>988002</v>
      </c>
    </row>
    <row r="45" spans="1:26" x14ac:dyDescent="0.75">
      <c r="A45" s="3">
        <v>35833</v>
      </c>
      <c r="B45" s="3" t="s">
        <v>57</v>
      </c>
      <c r="C45" s="4">
        <v>44630</v>
      </c>
      <c r="D45" s="3">
        <v>11502</v>
      </c>
      <c r="E45" s="6">
        <f t="shared" si="0"/>
        <v>15.97699712464058</v>
      </c>
      <c r="F45" s="3">
        <v>62</v>
      </c>
      <c r="G45" s="6">
        <f t="shared" si="1"/>
        <v>8.6121876345654325E-2</v>
      </c>
      <c r="H45" s="3">
        <v>0</v>
      </c>
      <c r="I45" s="3">
        <v>11440</v>
      </c>
      <c r="J45" s="3">
        <v>40</v>
      </c>
      <c r="K45" s="3">
        <v>0</v>
      </c>
      <c r="L45" s="3">
        <v>0</v>
      </c>
      <c r="N45" s="5">
        <v>5.4000000000000003E-3</v>
      </c>
      <c r="O45" s="2">
        <v>41063</v>
      </c>
      <c r="P45" s="2" t="s">
        <v>57</v>
      </c>
      <c r="Q45" s="2">
        <v>0</v>
      </c>
      <c r="R45" s="2">
        <v>0</v>
      </c>
      <c r="S45" s="2">
        <v>0</v>
      </c>
      <c r="T45" s="2">
        <v>0</v>
      </c>
      <c r="U45" s="1">
        <v>57</v>
      </c>
      <c r="V45" s="1" t="s">
        <v>244</v>
      </c>
      <c r="W45" s="1" t="s">
        <v>57</v>
      </c>
      <c r="X45" s="1" t="s">
        <v>199</v>
      </c>
      <c r="Y45" s="1" t="s">
        <v>200</v>
      </c>
      <c r="Z45" s="1">
        <v>71991</v>
      </c>
    </row>
    <row r="46" spans="1:26" x14ac:dyDescent="0.75">
      <c r="A46" s="3">
        <v>34275</v>
      </c>
      <c r="B46" s="3" t="s">
        <v>58</v>
      </c>
      <c r="C46" s="4">
        <v>44630</v>
      </c>
      <c r="D46" s="3">
        <v>2969537</v>
      </c>
      <c r="E46" s="6">
        <f t="shared" si="0"/>
        <v>50.923191053132314</v>
      </c>
      <c r="F46" s="3">
        <v>5097</v>
      </c>
      <c r="G46" s="6">
        <f t="shared" si="1"/>
        <v>8.7406051784441621E-2</v>
      </c>
      <c r="H46" s="3">
        <v>0</v>
      </c>
      <c r="I46" s="3">
        <v>2964440</v>
      </c>
      <c r="J46" s="3">
        <v>14326</v>
      </c>
      <c r="K46" s="3">
        <v>41</v>
      </c>
      <c r="L46" s="3">
        <v>0</v>
      </c>
      <c r="N46" s="5">
        <v>1.6999999999999999E-3</v>
      </c>
      <c r="O46" s="2">
        <v>39687</v>
      </c>
      <c r="P46" s="2" t="s">
        <v>58</v>
      </c>
      <c r="Q46" s="2">
        <v>0</v>
      </c>
      <c r="R46" s="2">
        <v>0</v>
      </c>
      <c r="S46" s="2">
        <v>0</v>
      </c>
      <c r="T46" s="2">
        <v>0</v>
      </c>
      <c r="U46" s="1">
        <v>58</v>
      </c>
      <c r="V46" s="1" t="s">
        <v>245</v>
      </c>
      <c r="W46" s="1" t="s">
        <v>58</v>
      </c>
      <c r="X46" s="1" t="s">
        <v>199</v>
      </c>
      <c r="Y46" s="1" t="s">
        <v>200</v>
      </c>
      <c r="Z46" s="1">
        <v>5831404</v>
      </c>
    </row>
    <row r="47" spans="1:26" x14ac:dyDescent="0.75">
      <c r="A47" s="3">
        <v>36612</v>
      </c>
      <c r="B47" s="3" t="s">
        <v>59</v>
      </c>
      <c r="C47" s="4">
        <v>44630</v>
      </c>
      <c r="D47" s="3">
        <v>576220</v>
      </c>
      <c r="E47" s="6">
        <f t="shared" si="0"/>
        <v>5.3118095440372635</v>
      </c>
      <c r="F47" s="3">
        <v>4372</v>
      </c>
      <c r="G47" s="6">
        <f t="shared" si="1"/>
        <v>4.0302716543214247E-2</v>
      </c>
      <c r="H47" s="3">
        <v>0</v>
      </c>
      <c r="I47" s="3">
        <v>571848</v>
      </c>
      <c r="J47" s="3">
        <v>0</v>
      </c>
      <c r="K47" s="3">
        <v>0</v>
      </c>
      <c r="L47" s="3">
        <v>0</v>
      </c>
      <c r="N47" s="5">
        <v>7.6E-3</v>
      </c>
      <c r="O47" s="2">
        <v>41770</v>
      </c>
      <c r="P47" s="2" t="s">
        <v>59</v>
      </c>
      <c r="Q47" s="2">
        <v>64.010000000000005</v>
      </c>
      <c r="R47" s="2">
        <v>64.010000000000005</v>
      </c>
      <c r="S47" s="2">
        <v>18.86</v>
      </c>
      <c r="T47" s="2">
        <v>35.99</v>
      </c>
      <c r="U47" s="1">
        <v>59</v>
      </c>
      <c r="V47" s="1" t="s">
        <v>246</v>
      </c>
      <c r="W47" s="1" t="s">
        <v>59</v>
      </c>
      <c r="X47" s="1" t="s">
        <v>199</v>
      </c>
      <c r="Y47" s="1" t="s">
        <v>200</v>
      </c>
      <c r="Z47" s="1">
        <v>10847904</v>
      </c>
    </row>
    <row r="48" spans="1:26" x14ac:dyDescent="0.75">
      <c r="A48" s="3">
        <v>2336</v>
      </c>
      <c r="B48" s="3" t="s">
        <v>60</v>
      </c>
      <c r="C48" s="4">
        <v>44630</v>
      </c>
      <c r="D48" s="3">
        <v>265366</v>
      </c>
      <c r="E48" s="6">
        <f t="shared" si="0"/>
        <v>0.60515322292334073</v>
      </c>
      <c r="F48" s="3">
        <v>6861</v>
      </c>
      <c r="G48" s="6">
        <f t="shared" si="1"/>
        <v>1.5646150081310494E-2</v>
      </c>
      <c r="H48" s="3">
        <v>0</v>
      </c>
      <c r="I48" s="3">
        <v>258505</v>
      </c>
      <c r="J48" s="3">
        <v>20</v>
      </c>
      <c r="K48" s="3">
        <v>1</v>
      </c>
      <c r="L48" s="3">
        <v>0</v>
      </c>
      <c r="N48" s="5">
        <v>2.5899999999999999E-2</v>
      </c>
      <c r="O48" s="2">
        <v>2860</v>
      </c>
      <c r="P48" s="2" t="s">
        <v>60</v>
      </c>
      <c r="Q48" s="2">
        <v>0</v>
      </c>
      <c r="R48" s="2">
        <v>0</v>
      </c>
      <c r="S48" s="2">
        <v>0</v>
      </c>
      <c r="T48" s="2">
        <v>0</v>
      </c>
      <c r="U48" s="1">
        <v>60</v>
      </c>
      <c r="V48" s="1" t="s">
        <v>247</v>
      </c>
      <c r="W48" s="1" t="s">
        <v>60</v>
      </c>
      <c r="X48" s="1" t="s">
        <v>199</v>
      </c>
      <c r="Y48" s="1" t="s">
        <v>200</v>
      </c>
      <c r="Z48" s="1">
        <v>43851043</v>
      </c>
    </row>
    <row r="49" spans="1:26" x14ac:dyDescent="0.75">
      <c r="A49" s="3">
        <v>37391</v>
      </c>
      <c r="B49" s="3" t="s">
        <v>61</v>
      </c>
      <c r="C49" s="4">
        <v>44630</v>
      </c>
      <c r="D49" s="3">
        <v>843760</v>
      </c>
      <c r="E49" s="6">
        <f t="shared" si="0"/>
        <v>4.7823903563214092</v>
      </c>
      <c r="F49" s="3">
        <v>35316</v>
      </c>
      <c r="G49" s="6">
        <f t="shared" si="1"/>
        <v>0.20016935837660813</v>
      </c>
      <c r="H49" s="3">
        <v>0</v>
      </c>
      <c r="I49" s="3">
        <v>808444</v>
      </c>
      <c r="J49" s="3">
        <v>0</v>
      </c>
      <c r="K49" s="3">
        <v>0</v>
      </c>
      <c r="L49" s="3">
        <v>0</v>
      </c>
      <c r="N49" s="5">
        <v>4.19E-2</v>
      </c>
      <c r="O49" s="2">
        <v>42477</v>
      </c>
      <c r="P49" s="2" t="s">
        <v>61</v>
      </c>
      <c r="Q49" s="2">
        <v>0</v>
      </c>
      <c r="R49" s="2">
        <v>0</v>
      </c>
      <c r="S49" s="2">
        <v>0</v>
      </c>
      <c r="T49" s="2">
        <v>0</v>
      </c>
      <c r="U49" s="1">
        <v>66</v>
      </c>
      <c r="V49" s="1" t="s">
        <v>248</v>
      </c>
      <c r="W49" s="1" t="s">
        <v>61</v>
      </c>
      <c r="X49" s="1" t="s">
        <v>199</v>
      </c>
      <c r="Y49" s="1" t="s">
        <v>200</v>
      </c>
      <c r="Z49" s="1">
        <v>17643060</v>
      </c>
    </row>
    <row r="50" spans="1:26" x14ac:dyDescent="0.75">
      <c r="A50" s="3">
        <v>38170</v>
      </c>
      <c r="B50" s="3" t="s">
        <v>62</v>
      </c>
      <c r="C50" s="4">
        <v>44630</v>
      </c>
      <c r="D50" s="3">
        <v>494519</v>
      </c>
      <c r="E50" s="6">
        <f t="shared" si="0"/>
        <v>0.48323827129767882</v>
      </c>
      <c r="F50" s="3">
        <v>24269</v>
      </c>
      <c r="G50" s="6">
        <f t="shared" si="1"/>
        <v>2.3715387287694442E-2</v>
      </c>
      <c r="H50" s="3">
        <v>0</v>
      </c>
      <c r="I50" s="3">
        <v>470250</v>
      </c>
      <c r="J50" s="3">
        <v>861</v>
      </c>
      <c r="K50" s="3">
        <v>12</v>
      </c>
      <c r="L50" s="3">
        <v>0</v>
      </c>
      <c r="N50" s="5">
        <v>4.9099999999999998E-2</v>
      </c>
      <c r="O50" s="2">
        <v>43200</v>
      </c>
      <c r="P50" s="2" t="s">
        <v>62</v>
      </c>
      <c r="Q50" s="2">
        <v>0</v>
      </c>
      <c r="R50" s="2">
        <v>0</v>
      </c>
      <c r="S50" s="2">
        <v>0</v>
      </c>
      <c r="T50" s="2">
        <v>0</v>
      </c>
      <c r="U50" s="1">
        <v>67</v>
      </c>
      <c r="V50" s="1" t="s">
        <v>249</v>
      </c>
      <c r="W50" s="1" t="s">
        <v>62</v>
      </c>
      <c r="X50" s="1" t="s">
        <v>199</v>
      </c>
      <c r="Y50" s="1" t="s">
        <v>200</v>
      </c>
      <c r="Z50" s="1">
        <v>102334403</v>
      </c>
    </row>
    <row r="51" spans="1:26" x14ac:dyDescent="0.75">
      <c r="A51" s="3">
        <v>40507</v>
      </c>
      <c r="B51" s="3" t="s">
        <v>63</v>
      </c>
      <c r="C51" s="4">
        <v>44630</v>
      </c>
      <c r="D51" s="3">
        <v>9719</v>
      </c>
      <c r="E51" s="6" t="e">
        <f t="shared" si="0"/>
        <v>#DIV/0!</v>
      </c>
      <c r="F51" s="3">
        <v>103</v>
      </c>
      <c r="G51" s="6" t="e">
        <f t="shared" si="1"/>
        <v>#DIV/0!</v>
      </c>
      <c r="H51" s="3">
        <v>0</v>
      </c>
      <c r="I51" s="3">
        <v>9616</v>
      </c>
      <c r="J51" s="3">
        <v>1</v>
      </c>
      <c r="K51" s="3">
        <v>0</v>
      </c>
      <c r="L51" s="3">
        <v>0</v>
      </c>
      <c r="N51" s="5">
        <v>1.06E-2</v>
      </c>
      <c r="O51" s="2">
        <v>45269</v>
      </c>
      <c r="P51" s="2" t="s">
        <v>63</v>
      </c>
      <c r="Q51" s="2">
        <v>0</v>
      </c>
      <c r="R51" s="2">
        <v>0</v>
      </c>
      <c r="S51" s="2">
        <v>0</v>
      </c>
      <c r="T51" s="2">
        <v>0</v>
      </c>
      <c r="U51" s="1">
        <v>69</v>
      </c>
      <c r="V51" s="1" t="s">
        <v>250</v>
      </c>
      <c r="W51" s="1" t="s">
        <v>63</v>
      </c>
      <c r="X51" s="1" t="s">
        <v>199</v>
      </c>
      <c r="Y51" s="1" t="s">
        <v>200</v>
      </c>
      <c r="Z51" s="1">
        <v>0</v>
      </c>
    </row>
    <row r="52" spans="1:26" x14ac:dyDescent="0.75">
      <c r="A52" s="3">
        <v>121523</v>
      </c>
      <c r="B52" s="3" t="s">
        <v>64</v>
      </c>
      <c r="C52" s="4">
        <v>44630</v>
      </c>
      <c r="D52" s="3">
        <v>11204125</v>
      </c>
      <c r="E52" s="6">
        <f t="shared" si="0"/>
        <v>23.661571749040533</v>
      </c>
      <c r="F52" s="3">
        <v>101077</v>
      </c>
      <c r="G52" s="6">
        <f t="shared" si="1"/>
        <v>0.2134607287653226</v>
      </c>
      <c r="H52" s="3">
        <v>0</v>
      </c>
      <c r="I52" s="3">
        <v>11103048</v>
      </c>
      <c r="J52" s="3">
        <v>22615</v>
      </c>
      <c r="K52" s="3">
        <v>85</v>
      </c>
      <c r="L52" s="3">
        <v>0</v>
      </c>
      <c r="N52" s="5">
        <v>8.9999999999999993E-3</v>
      </c>
      <c r="O52" s="2">
        <v>136121</v>
      </c>
      <c r="P52" s="2" t="s">
        <v>64</v>
      </c>
      <c r="Q52" s="2">
        <v>0</v>
      </c>
      <c r="R52" s="2">
        <v>0</v>
      </c>
      <c r="S52" s="2">
        <v>0</v>
      </c>
      <c r="T52" s="2">
        <v>0</v>
      </c>
      <c r="U52" s="1">
        <v>70</v>
      </c>
      <c r="V52" s="1" t="s">
        <v>251</v>
      </c>
      <c r="W52" s="1" t="s">
        <v>64</v>
      </c>
      <c r="X52" s="1" t="s">
        <v>199</v>
      </c>
      <c r="Y52" s="1" t="s">
        <v>200</v>
      </c>
      <c r="Z52" s="1">
        <v>47351567</v>
      </c>
    </row>
    <row r="53" spans="1:26" x14ac:dyDescent="0.75">
      <c r="A53" s="3">
        <v>41286</v>
      </c>
      <c r="B53" s="3" t="s">
        <v>65</v>
      </c>
      <c r="C53" s="4">
        <v>44630</v>
      </c>
      <c r="D53" s="3">
        <v>525748</v>
      </c>
      <c r="E53" s="6">
        <f t="shared" si="0"/>
        <v>39.498533871952887</v>
      </c>
      <c r="F53" s="3">
        <v>2327</v>
      </c>
      <c r="G53" s="6">
        <f t="shared" si="1"/>
        <v>0.17482346736465831</v>
      </c>
      <c r="H53" s="3">
        <v>0</v>
      </c>
      <c r="I53" s="3">
        <v>523421</v>
      </c>
      <c r="J53" s="3">
        <v>2469</v>
      </c>
      <c r="K53" s="3">
        <v>7</v>
      </c>
      <c r="L53" s="3">
        <v>0</v>
      </c>
      <c r="N53" s="5">
        <v>4.4000000000000003E-3</v>
      </c>
      <c r="O53" s="2">
        <v>46003</v>
      </c>
      <c r="P53" s="2" t="s">
        <v>65</v>
      </c>
      <c r="Q53" s="2">
        <v>0</v>
      </c>
      <c r="R53" s="2">
        <v>0</v>
      </c>
      <c r="S53" s="2">
        <v>0</v>
      </c>
      <c r="T53" s="2">
        <v>0</v>
      </c>
      <c r="U53" s="1">
        <v>71</v>
      </c>
      <c r="V53" s="1" t="s">
        <v>252</v>
      </c>
      <c r="W53" s="1" t="s">
        <v>65</v>
      </c>
      <c r="X53" s="1" t="s">
        <v>199</v>
      </c>
      <c r="Y53" s="1" t="s">
        <v>200</v>
      </c>
      <c r="Z53" s="1">
        <v>1331057</v>
      </c>
    </row>
    <row r="54" spans="1:26" x14ac:dyDescent="0.75">
      <c r="A54" s="3">
        <v>42844</v>
      </c>
      <c r="B54" s="3" t="s">
        <v>66</v>
      </c>
      <c r="C54" s="4">
        <v>44630</v>
      </c>
      <c r="D54" s="3">
        <v>469134</v>
      </c>
      <c r="E54" s="6">
        <f t="shared" si="0"/>
        <v>0.40807183262546715</v>
      </c>
      <c r="F54" s="3">
        <v>7484</v>
      </c>
      <c r="G54" s="6">
        <f t="shared" si="1"/>
        <v>6.5098875702229988E-3</v>
      </c>
      <c r="H54" s="3">
        <v>0</v>
      </c>
      <c r="I54" s="3">
        <v>461650</v>
      </c>
      <c r="J54" s="3">
        <v>39</v>
      </c>
      <c r="K54" s="3">
        <v>2</v>
      </c>
      <c r="L54" s="3">
        <v>0</v>
      </c>
      <c r="N54" s="5">
        <v>1.6E-2</v>
      </c>
      <c r="O54" s="2">
        <v>47392</v>
      </c>
      <c r="P54" s="2" t="s">
        <v>66</v>
      </c>
      <c r="Q54" s="2">
        <v>0</v>
      </c>
      <c r="R54" s="2">
        <v>0</v>
      </c>
      <c r="S54" s="2">
        <v>0</v>
      </c>
      <c r="T54" s="2">
        <v>0</v>
      </c>
      <c r="U54" s="1">
        <v>72</v>
      </c>
      <c r="V54" s="1" t="s">
        <v>253</v>
      </c>
      <c r="W54" s="1" t="s">
        <v>66</v>
      </c>
      <c r="X54" s="1" t="s">
        <v>199</v>
      </c>
      <c r="Y54" s="1" t="s">
        <v>200</v>
      </c>
      <c r="Z54" s="1">
        <v>114963583</v>
      </c>
    </row>
    <row r="55" spans="1:26" x14ac:dyDescent="0.75">
      <c r="A55" s="3">
        <v>44402</v>
      </c>
      <c r="B55" s="3" t="s">
        <v>67</v>
      </c>
      <c r="C55" s="4">
        <v>44630</v>
      </c>
      <c r="D55" s="3">
        <v>713103</v>
      </c>
      <c r="E55" s="6">
        <f t="shared" si="0"/>
        <v>12.893495402677303</v>
      </c>
      <c r="F55" s="3">
        <v>2573</v>
      </c>
      <c r="G55" s="6">
        <f t="shared" si="1"/>
        <v>4.6521980234396285E-2</v>
      </c>
      <c r="H55" s="3">
        <v>0</v>
      </c>
      <c r="I55" s="3">
        <v>710530</v>
      </c>
      <c r="J55" s="3">
        <v>10051</v>
      </c>
      <c r="K55" s="3">
        <v>0</v>
      </c>
      <c r="L55" s="3">
        <v>0</v>
      </c>
      <c r="N55" s="5">
        <v>3.5999999999999999E-3</v>
      </c>
      <c r="O55" s="2">
        <v>51736</v>
      </c>
      <c r="P55" s="2" t="s">
        <v>67</v>
      </c>
      <c r="Q55" s="2">
        <v>79.91</v>
      </c>
      <c r="R55" s="2">
        <v>79.91</v>
      </c>
      <c r="S55" s="2">
        <v>46.98</v>
      </c>
      <c r="T55" s="2">
        <v>20.09</v>
      </c>
      <c r="U55" s="1">
        <v>75</v>
      </c>
      <c r="V55" s="1" t="s">
        <v>254</v>
      </c>
      <c r="W55" s="1" t="s">
        <v>67</v>
      </c>
      <c r="X55" s="1" t="s">
        <v>199</v>
      </c>
      <c r="Y55" s="1" t="s">
        <v>200</v>
      </c>
      <c r="Z55" s="1">
        <v>5530719</v>
      </c>
    </row>
    <row r="56" spans="1:26" x14ac:dyDescent="0.75">
      <c r="A56" s="3">
        <v>43623</v>
      </c>
      <c r="B56" s="3" t="s">
        <v>68</v>
      </c>
      <c r="C56" s="4">
        <v>44630</v>
      </c>
      <c r="D56" s="3">
        <v>64060</v>
      </c>
      <c r="E56" s="6">
        <f t="shared" si="0"/>
        <v>7.1460124670364236</v>
      </c>
      <c r="F56" s="3">
        <v>834</v>
      </c>
      <c r="G56" s="6">
        <f t="shared" si="1"/>
        <v>9.3034255346680889E-2</v>
      </c>
      <c r="H56" s="3">
        <v>0</v>
      </c>
      <c r="I56" s="3">
        <v>63226</v>
      </c>
      <c r="J56" s="3">
        <v>0</v>
      </c>
      <c r="K56" s="3">
        <v>0</v>
      </c>
      <c r="L56" s="3">
        <v>0</v>
      </c>
      <c r="N56" s="5">
        <v>1.2999999999999999E-2</v>
      </c>
      <c r="O56" s="2">
        <v>50997</v>
      </c>
      <c r="P56" s="2" t="s">
        <v>68</v>
      </c>
      <c r="Q56" s="2">
        <v>0</v>
      </c>
      <c r="R56" s="2">
        <v>0</v>
      </c>
      <c r="S56" s="2">
        <v>0</v>
      </c>
      <c r="T56" s="2">
        <v>0</v>
      </c>
      <c r="U56" s="1">
        <v>76</v>
      </c>
      <c r="V56" s="1" t="s">
        <v>255</v>
      </c>
      <c r="W56" s="1" t="s">
        <v>68</v>
      </c>
      <c r="X56" s="1" t="s">
        <v>199</v>
      </c>
      <c r="Y56" s="1" t="s">
        <v>200</v>
      </c>
      <c r="Z56" s="1">
        <v>896444</v>
      </c>
    </row>
    <row r="57" spans="1:26" x14ac:dyDescent="0.75">
      <c r="A57" s="3">
        <v>45181</v>
      </c>
      <c r="B57" s="3" t="s">
        <v>69</v>
      </c>
      <c r="C57" s="4">
        <v>44630</v>
      </c>
      <c r="D57" s="3">
        <v>23492815</v>
      </c>
      <c r="E57" s="6">
        <f t="shared" si="0"/>
        <v>34.860162505162741</v>
      </c>
      <c r="F57" s="3">
        <v>140904</v>
      </c>
      <c r="G57" s="6">
        <f t="shared" si="1"/>
        <v>0.20908249341883681</v>
      </c>
      <c r="H57" s="3">
        <v>0</v>
      </c>
      <c r="I57" s="3">
        <v>23351911</v>
      </c>
      <c r="J57" s="3">
        <v>75562</v>
      </c>
      <c r="K57" s="3">
        <v>107</v>
      </c>
      <c r="L57" s="3">
        <v>0</v>
      </c>
      <c r="N57" s="5">
        <v>6.0000000000000001E-3</v>
      </c>
      <c r="O57" s="2">
        <v>52480</v>
      </c>
      <c r="P57" s="2" t="s">
        <v>69</v>
      </c>
      <c r="Q57" s="2">
        <v>0</v>
      </c>
      <c r="R57" s="2">
        <v>0</v>
      </c>
      <c r="S57" s="2">
        <v>0</v>
      </c>
      <c r="T57" s="2">
        <v>0</v>
      </c>
      <c r="U57" s="1">
        <v>77</v>
      </c>
      <c r="V57" s="1" t="s">
        <v>256</v>
      </c>
      <c r="W57" s="1" t="s">
        <v>69</v>
      </c>
      <c r="X57" s="1" t="s">
        <v>199</v>
      </c>
      <c r="Y57" s="1" t="s">
        <v>200</v>
      </c>
      <c r="Z57" s="1">
        <v>67391582</v>
      </c>
    </row>
    <row r="58" spans="1:26" x14ac:dyDescent="0.75">
      <c r="A58" s="3">
        <v>45960</v>
      </c>
      <c r="B58" s="3" t="s">
        <v>70</v>
      </c>
      <c r="C58" s="4">
        <v>44630</v>
      </c>
      <c r="D58" s="3">
        <v>47564</v>
      </c>
      <c r="E58" s="6">
        <f t="shared" si="0"/>
        <v>2.1370086551456424</v>
      </c>
      <c r="F58" s="3">
        <v>303</v>
      </c>
      <c r="G58" s="6">
        <f t="shared" si="1"/>
        <v>1.3613523305633032E-2</v>
      </c>
      <c r="H58" s="3">
        <v>0</v>
      </c>
      <c r="I58" s="3">
        <v>47261</v>
      </c>
      <c r="J58" s="3">
        <v>0</v>
      </c>
      <c r="K58" s="3">
        <v>0</v>
      </c>
      <c r="L58" s="3">
        <v>0</v>
      </c>
      <c r="N58" s="5">
        <v>6.4000000000000003E-3</v>
      </c>
      <c r="O58" s="2">
        <v>53869</v>
      </c>
      <c r="P58" s="2" t="s">
        <v>70</v>
      </c>
      <c r="Q58" s="2">
        <v>0</v>
      </c>
      <c r="R58" s="2">
        <v>0</v>
      </c>
      <c r="S58" s="2">
        <v>0</v>
      </c>
      <c r="T58" s="2">
        <v>0</v>
      </c>
      <c r="U58" s="1">
        <v>80</v>
      </c>
      <c r="V58" s="1" t="s">
        <v>257</v>
      </c>
      <c r="W58" s="1" t="s">
        <v>70</v>
      </c>
      <c r="X58" s="1" t="s">
        <v>199</v>
      </c>
      <c r="Y58" s="1" t="s">
        <v>200</v>
      </c>
      <c r="Z58" s="1">
        <v>2225728</v>
      </c>
    </row>
    <row r="59" spans="1:26" x14ac:dyDescent="0.75">
      <c r="A59" s="3">
        <v>135545</v>
      </c>
      <c r="B59" s="3" t="s">
        <v>71</v>
      </c>
      <c r="C59" s="4">
        <v>44630</v>
      </c>
      <c r="D59" s="3">
        <v>19600293</v>
      </c>
      <c r="E59" s="6">
        <f t="shared" si="0"/>
        <v>29.160466502764482</v>
      </c>
      <c r="F59" s="3">
        <v>163203</v>
      </c>
      <c r="G59" s="6">
        <f t="shared" si="1"/>
        <v>0.24280635063213962</v>
      </c>
      <c r="H59" s="3">
        <v>0</v>
      </c>
      <c r="I59" s="3">
        <v>19437090</v>
      </c>
      <c r="J59" s="3">
        <v>84746</v>
      </c>
      <c r="K59" s="3">
        <v>144</v>
      </c>
      <c r="L59" s="3">
        <v>0</v>
      </c>
      <c r="N59" s="5">
        <v>8.3000000000000001E-3</v>
      </c>
      <c r="O59" s="2">
        <v>151040</v>
      </c>
      <c r="P59" s="2" t="s">
        <v>71</v>
      </c>
      <c r="Q59" s="2">
        <v>76.87</v>
      </c>
      <c r="R59" s="2">
        <v>76.87</v>
      </c>
      <c r="S59" s="2">
        <v>55.02</v>
      </c>
      <c r="T59" s="2">
        <v>23.13</v>
      </c>
      <c r="U59" s="1">
        <v>81</v>
      </c>
      <c r="V59" s="1" t="s">
        <v>258</v>
      </c>
      <c r="W59" s="1" t="s">
        <v>71</v>
      </c>
      <c r="X59" s="1" t="s">
        <v>199</v>
      </c>
      <c r="Y59" s="1" t="s">
        <v>200</v>
      </c>
      <c r="Z59" s="1">
        <v>67215293</v>
      </c>
    </row>
    <row r="60" spans="1:26" x14ac:dyDescent="0.75">
      <c r="A60" s="3">
        <v>47518</v>
      </c>
      <c r="B60" s="3" t="s">
        <v>72</v>
      </c>
      <c r="C60" s="4">
        <v>44630</v>
      </c>
      <c r="D60" s="3">
        <v>1631900</v>
      </c>
      <c r="E60" s="6">
        <f t="shared" si="0"/>
        <v>43.939149165320408</v>
      </c>
      <c r="F60" s="3">
        <v>16485</v>
      </c>
      <c r="G60" s="6">
        <f t="shared" si="1"/>
        <v>0.4438610662358643</v>
      </c>
      <c r="H60" s="3">
        <v>0</v>
      </c>
      <c r="I60" s="3">
        <v>1615415</v>
      </c>
      <c r="J60" s="3">
        <v>1970</v>
      </c>
      <c r="K60" s="3">
        <v>29</v>
      </c>
      <c r="L60" s="3">
        <v>0</v>
      </c>
      <c r="N60" s="5">
        <v>1.01E-2</v>
      </c>
      <c r="O60" s="2">
        <v>55271</v>
      </c>
      <c r="P60" s="2" t="s">
        <v>72</v>
      </c>
      <c r="Q60" s="2">
        <v>38.28</v>
      </c>
      <c r="R60" s="2">
        <v>38.28</v>
      </c>
      <c r="S60" s="2">
        <v>0</v>
      </c>
      <c r="T60" s="2">
        <v>61.72</v>
      </c>
      <c r="U60" s="1">
        <v>82</v>
      </c>
      <c r="V60" s="1" t="s">
        <v>259</v>
      </c>
      <c r="W60" s="1" t="s">
        <v>72</v>
      </c>
      <c r="X60" s="1" t="s">
        <v>199</v>
      </c>
      <c r="Y60" s="1" t="s">
        <v>200</v>
      </c>
      <c r="Z60" s="1">
        <v>3714000</v>
      </c>
    </row>
    <row r="61" spans="1:26" x14ac:dyDescent="0.75">
      <c r="A61" s="3">
        <v>49076</v>
      </c>
      <c r="B61" s="3" t="s">
        <v>73</v>
      </c>
      <c r="C61" s="4">
        <v>44630</v>
      </c>
      <c r="D61" s="3">
        <v>160681</v>
      </c>
      <c r="E61" s="6">
        <f t="shared" si="0"/>
        <v>0.51710901557609035</v>
      </c>
      <c r="F61" s="3">
        <v>1445</v>
      </c>
      <c r="G61" s="6">
        <f t="shared" si="1"/>
        <v>4.6503477542923595E-3</v>
      </c>
      <c r="H61" s="3">
        <v>0</v>
      </c>
      <c r="I61" s="3">
        <v>159236</v>
      </c>
      <c r="J61" s="3">
        <v>14</v>
      </c>
      <c r="K61" s="3">
        <v>1</v>
      </c>
      <c r="L61" s="3">
        <v>0</v>
      </c>
      <c r="N61" s="5">
        <v>8.9999999999999993E-3</v>
      </c>
      <c r="O61" s="2">
        <v>56706</v>
      </c>
      <c r="P61" s="2" t="s">
        <v>73</v>
      </c>
      <c r="Q61" s="2">
        <v>0</v>
      </c>
      <c r="R61" s="2">
        <v>0</v>
      </c>
      <c r="S61" s="2">
        <v>0</v>
      </c>
      <c r="T61" s="2">
        <v>0</v>
      </c>
      <c r="U61" s="1">
        <v>83</v>
      </c>
      <c r="V61" s="1" t="s">
        <v>260</v>
      </c>
      <c r="W61" s="1" t="s">
        <v>73</v>
      </c>
      <c r="X61" s="1" t="s">
        <v>199</v>
      </c>
      <c r="Y61" s="1" t="s">
        <v>200</v>
      </c>
      <c r="Z61" s="1">
        <v>31072945</v>
      </c>
    </row>
    <row r="62" spans="1:26" x14ac:dyDescent="0.75">
      <c r="A62" s="3">
        <v>52192</v>
      </c>
      <c r="B62" s="3" t="s">
        <v>74</v>
      </c>
      <c r="C62" s="4">
        <v>44630</v>
      </c>
      <c r="D62" s="3">
        <v>36427</v>
      </c>
      <c r="E62" s="6">
        <f t="shared" si="0"/>
        <v>0.27737437705554158</v>
      </c>
      <c r="F62" s="3">
        <v>440</v>
      </c>
      <c r="G62" s="6">
        <f t="shared" si="1"/>
        <v>3.3503919044784993E-3</v>
      </c>
      <c r="H62" s="3">
        <v>0</v>
      </c>
      <c r="I62" s="3">
        <v>35987</v>
      </c>
      <c r="J62" s="3">
        <v>0</v>
      </c>
      <c r="K62" s="3">
        <v>0</v>
      </c>
      <c r="L62" s="3">
        <v>0</v>
      </c>
      <c r="N62" s="5">
        <v>1.21E-2</v>
      </c>
      <c r="O62" s="2">
        <v>61292</v>
      </c>
      <c r="P62" s="2" t="s">
        <v>74</v>
      </c>
      <c r="Q62" s="2">
        <v>0</v>
      </c>
      <c r="R62" s="2">
        <v>0</v>
      </c>
      <c r="S62" s="2">
        <v>0</v>
      </c>
      <c r="T62" s="2">
        <v>0</v>
      </c>
      <c r="U62" s="1">
        <v>85</v>
      </c>
      <c r="V62" s="1" t="s">
        <v>261</v>
      </c>
      <c r="W62" s="1" t="s">
        <v>74</v>
      </c>
      <c r="X62" s="1" t="s">
        <v>199</v>
      </c>
      <c r="Y62" s="1" t="s">
        <v>200</v>
      </c>
      <c r="Z62" s="1">
        <v>13132792</v>
      </c>
    </row>
    <row r="63" spans="1:26" x14ac:dyDescent="0.75">
      <c r="A63" s="3">
        <v>46739</v>
      </c>
      <c r="B63" s="3" t="s">
        <v>75</v>
      </c>
      <c r="C63" s="4">
        <v>44630</v>
      </c>
      <c r="D63" s="3">
        <v>11963</v>
      </c>
      <c r="E63" s="6">
        <f t="shared" si="0"/>
        <v>0.49502123588550168</v>
      </c>
      <c r="F63" s="3">
        <v>365</v>
      </c>
      <c r="G63" s="6">
        <f t="shared" si="1"/>
        <v>1.5103464941754418E-2</v>
      </c>
      <c r="H63" s="3">
        <v>0</v>
      </c>
      <c r="I63" s="3">
        <v>11598</v>
      </c>
      <c r="J63" s="3">
        <v>0</v>
      </c>
      <c r="K63" s="3">
        <v>0</v>
      </c>
      <c r="L63" s="3">
        <v>0</v>
      </c>
      <c r="N63" s="5">
        <v>3.0499999999999999E-2</v>
      </c>
      <c r="O63" s="2">
        <v>54560</v>
      </c>
      <c r="P63" s="2" t="s">
        <v>75</v>
      </c>
      <c r="Q63" s="2">
        <v>0</v>
      </c>
      <c r="R63" s="2">
        <v>0</v>
      </c>
      <c r="S63" s="2">
        <v>0</v>
      </c>
      <c r="T63" s="2">
        <v>0</v>
      </c>
      <c r="U63" s="1">
        <v>86</v>
      </c>
      <c r="V63" s="1" t="s">
        <v>262</v>
      </c>
      <c r="W63" s="1" t="s">
        <v>75</v>
      </c>
      <c r="X63" s="1" t="s">
        <v>199</v>
      </c>
      <c r="Y63" s="1" t="s">
        <v>200</v>
      </c>
      <c r="Z63" s="1">
        <v>2416664</v>
      </c>
    </row>
    <row r="64" spans="1:26" x14ac:dyDescent="0.75">
      <c r="A64" s="3">
        <v>52971</v>
      </c>
      <c r="B64" s="3" t="s">
        <v>76</v>
      </c>
      <c r="C64" s="4">
        <v>44630</v>
      </c>
      <c r="D64" s="3">
        <v>8050</v>
      </c>
      <c r="E64" s="6">
        <f t="shared" si="0"/>
        <v>0.40904513114342594</v>
      </c>
      <c r="F64" s="3">
        <v>168</v>
      </c>
      <c r="G64" s="6">
        <f t="shared" si="1"/>
        <v>8.5365940412541075E-3</v>
      </c>
      <c r="H64" s="3">
        <v>0</v>
      </c>
      <c r="I64" s="3">
        <v>7882</v>
      </c>
      <c r="J64" s="3">
        <v>11</v>
      </c>
      <c r="K64" s="3">
        <v>0</v>
      </c>
      <c r="L64" s="3">
        <v>0</v>
      </c>
      <c r="N64" s="5">
        <v>2.0899999999999998E-2</v>
      </c>
      <c r="O64" s="2">
        <v>61975</v>
      </c>
      <c r="P64" s="2" t="s">
        <v>76</v>
      </c>
      <c r="Q64" s="2">
        <v>0</v>
      </c>
      <c r="R64" s="2">
        <v>0</v>
      </c>
      <c r="S64" s="2">
        <v>0</v>
      </c>
      <c r="T64" s="2">
        <v>0</v>
      </c>
      <c r="U64" s="1">
        <v>87</v>
      </c>
      <c r="V64" s="1" t="s">
        <v>263</v>
      </c>
      <c r="W64" s="1" t="s">
        <v>76</v>
      </c>
      <c r="X64" s="1" t="s">
        <v>199</v>
      </c>
      <c r="Y64" s="1" t="s">
        <v>200</v>
      </c>
      <c r="Z64" s="1">
        <v>1967998</v>
      </c>
    </row>
    <row r="65" spans="1:26" x14ac:dyDescent="0.75">
      <c r="A65" s="3">
        <v>39728</v>
      </c>
      <c r="B65" s="3" t="s">
        <v>77</v>
      </c>
      <c r="C65" s="4">
        <v>44630</v>
      </c>
      <c r="D65" s="3">
        <v>15894</v>
      </c>
      <c r="E65" s="6">
        <f t="shared" si="0"/>
        <v>1.1328702730250144</v>
      </c>
      <c r="F65" s="3">
        <v>183</v>
      </c>
      <c r="G65" s="6">
        <f t="shared" si="1"/>
        <v>1.304361771508605E-2</v>
      </c>
      <c r="H65" s="3">
        <v>0</v>
      </c>
      <c r="I65" s="3">
        <v>15711</v>
      </c>
      <c r="J65" s="3">
        <v>0</v>
      </c>
      <c r="K65" s="3">
        <v>0</v>
      </c>
      <c r="L65" s="3">
        <v>0</v>
      </c>
      <c r="N65" s="5">
        <v>1.15E-2</v>
      </c>
      <c r="O65" s="2">
        <v>44582</v>
      </c>
      <c r="P65" s="2" t="s">
        <v>77</v>
      </c>
      <c r="Q65" s="2">
        <v>0</v>
      </c>
      <c r="R65" s="2">
        <v>0</v>
      </c>
      <c r="S65" s="2">
        <v>0</v>
      </c>
      <c r="T65" s="2">
        <v>0</v>
      </c>
      <c r="U65" s="1">
        <v>88</v>
      </c>
      <c r="V65" s="1" t="s">
        <v>264</v>
      </c>
      <c r="W65" s="1" t="s">
        <v>77</v>
      </c>
      <c r="X65" s="1" t="s">
        <v>199</v>
      </c>
      <c r="Y65" s="1" t="s">
        <v>200</v>
      </c>
      <c r="Z65" s="1">
        <v>1402985</v>
      </c>
    </row>
    <row r="66" spans="1:26" x14ac:dyDescent="0.75">
      <c r="A66" s="3">
        <v>49855</v>
      </c>
      <c r="B66" s="3" t="s">
        <v>78</v>
      </c>
      <c r="C66" s="4">
        <v>44630</v>
      </c>
      <c r="D66" s="3">
        <v>2583366</v>
      </c>
      <c r="E66" s="6">
        <f t="shared" si="0"/>
        <v>24.108573438467783</v>
      </c>
      <c r="F66" s="3">
        <v>26424</v>
      </c>
      <c r="G66" s="6">
        <f t="shared" si="1"/>
        <v>0.24659492481439821</v>
      </c>
      <c r="H66" s="3">
        <v>0</v>
      </c>
      <c r="I66" s="3">
        <v>2556942</v>
      </c>
      <c r="J66" s="3">
        <v>21863</v>
      </c>
      <c r="K66" s="3">
        <v>58</v>
      </c>
      <c r="L66" s="3">
        <v>0</v>
      </c>
      <c r="N66" s="5">
        <v>1.0200000000000001E-2</v>
      </c>
      <c r="O66" s="2">
        <v>58124</v>
      </c>
      <c r="P66" s="2" t="s">
        <v>78</v>
      </c>
      <c r="Q66" s="2">
        <v>75.14</v>
      </c>
      <c r="R66" s="2">
        <v>75.14</v>
      </c>
      <c r="S66" s="2">
        <v>47.64</v>
      </c>
      <c r="T66" s="2">
        <v>24.86</v>
      </c>
      <c r="U66" s="1">
        <v>89</v>
      </c>
      <c r="V66" s="1" t="s">
        <v>265</v>
      </c>
      <c r="W66" s="1" t="s">
        <v>78</v>
      </c>
      <c r="X66" s="1" t="s">
        <v>199</v>
      </c>
      <c r="Y66" s="1" t="s">
        <v>200</v>
      </c>
      <c r="Z66" s="1">
        <v>10715549</v>
      </c>
    </row>
    <row r="67" spans="1:26" x14ac:dyDescent="0.75">
      <c r="A67" s="3">
        <v>50634</v>
      </c>
      <c r="B67" s="3" t="s">
        <v>79</v>
      </c>
      <c r="C67" s="4">
        <v>44630</v>
      </c>
      <c r="D67" s="3">
        <v>13690</v>
      </c>
      <c r="E67" s="6">
        <f t="shared" ref="E67:E130" si="2">D67/Z67*100</f>
        <v>12.166834045805597</v>
      </c>
      <c r="F67" s="3">
        <v>216</v>
      </c>
      <c r="G67" s="6">
        <f t="shared" ref="G67:G130" si="3">F67/Z67*100</f>
        <v>0.19196757880891227</v>
      </c>
      <c r="H67" s="3">
        <v>0</v>
      </c>
      <c r="I67" s="3">
        <v>13474</v>
      </c>
      <c r="J67" s="3">
        <v>0</v>
      </c>
      <c r="K67" s="3">
        <v>0</v>
      </c>
      <c r="L67" s="3">
        <v>0</v>
      </c>
      <c r="N67" s="5">
        <v>1.5800000000000002E-2</v>
      </c>
      <c r="O67" s="2">
        <v>59502</v>
      </c>
      <c r="P67" s="2" t="s">
        <v>79</v>
      </c>
      <c r="Q67" s="2">
        <v>0</v>
      </c>
      <c r="R67" s="2">
        <v>0</v>
      </c>
      <c r="S67" s="2">
        <v>0</v>
      </c>
      <c r="T67" s="2">
        <v>0</v>
      </c>
      <c r="U67" s="1">
        <v>90</v>
      </c>
      <c r="V67" s="1" t="s">
        <v>266</v>
      </c>
      <c r="W67" s="1" t="s">
        <v>79</v>
      </c>
      <c r="X67" s="1" t="s">
        <v>199</v>
      </c>
      <c r="Y67" s="1" t="s">
        <v>200</v>
      </c>
      <c r="Z67" s="1">
        <v>112519</v>
      </c>
    </row>
    <row r="68" spans="1:26" x14ac:dyDescent="0.75">
      <c r="A68" s="3">
        <v>51413</v>
      </c>
      <c r="B68" s="3" t="s">
        <v>80</v>
      </c>
      <c r="C68" s="4">
        <v>44630</v>
      </c>
      <c r="D68" s="3">
        <v>800403</v>
      </c>
      <c r="E68" s="6">
        <f t="shared" si="2"/>
        <v>4.7478181858194395</v>
      </c>
      <c r="F68" s="3">
        <v>17127</v>
      </c>
      <c r="G68" s="6">
        <f t="shared" si="3"/>
        <v>0.10159367477199555</v>
      </c>
      <c r="H68" s="3">
        <v>0</v>
      </c>
      <c r="I68" s="3">
        <v>783276</v>
      </c>
      <c r="J68" s="3">
        <v>2003</v>
      </c>
      <c r="K68" s="3">
        <v>11</v>
      </c>
      <c r="L68" s="3">
        <v>0</v>
      </c>
      <c r="N68" s="5">
        <v>2.1399999999999999E-2</v>
      </c>
      <c r="O68" s="2">
        <v>60222</v>
      </c>
      <c r="P68" s="2" t="s">
        <v>80</v>
      </c>
      <c r="Q68" s="2">
        <v>0</v>
      </c>
      <c r="R68" s="2">
        <v>0</v>
      </c>
      <c r="S68" s="2">
        <v>0</v>
      </c>
      <c r="T68" s="2">
        <v>0</v>
      </c>
      <c r="U68" s="1">
        <v>92</v>
      </c>
      <c r="V68" s="1" t="s">
        <v>267</v>
      </c>
      <c r="W68" s="1" t="s">
        <v>80</v>
      </c>
      <c r="X68" s="1" t="s">
        <v>199</v>
      </c>
      <c r="Y68" s="1" t="s">
        <v>200</v>
      </c>
      <c r="Z68" s="1">
        <v>16858333</v>
      </c>
    </row>
    <row r="69" spans="1:26" x14ac:dyDescent="0.75">
      <c r="A69" s="3">
        <v>53750</v>
      </c>
      <c r="B69" s="3" t="s">
        <v>81</v>
      </c>
      <c r="C69" s="4">
        <v>44630</v>
      </c>
      <c r="D69" s="3">
        <v>63107</v>
      </c>
      <c r="E69" s="6">
        <f t="shared" si="2"/>
        <v>8.0231743581854644</v>
      </c>
      <c r="F69" s="3">
        <v>1224</v>
      </c>
      <c r="G69" s="6">
        <f t="shared" si="3"/>
        <v>0.15561451842773397</v>
      </c>
      <c r="H69" s="3">
        <v>0</v>
      </c>
      <c r="I69" s="3">
        <v>61883</v>
      </c>
      <c r="J69" s="3">
        <v>17</v>
      </c>
      <c r="K69" s="3">
        <v>0</v>
      </c>
      <c r="L69" s="3">
        <v>0</v>
      </c>
      <c r="N69" s="5">
        <v>1.9400000000000001E-2</v>
      </c>
      <c r="O69" s="2">
        <v>62671</v>
      </c>
      <c r="P69" s="2" t="s">
        <v>81</v>
      </c>
      <c r="Q69" s="2">
        <v>0</v>
      </c>
      <c r="R69" s="2">
        <v>0</v>
      </c>
      <c r="S69" s="2">
        <v>0</v>
      </c>
      <c r="T69" s="2">
        <v>0</v>
      </c>
      <c r="U69" s="1">
        <v>94</v>
      </c>
      <c r="V69" s="1" t="s">
        <v>268</v>
      </c>
      <c r="W69" s="1" t="s">
        <v>81</v>
      </c>
      <c r="X69" s="1" t="s">
        <v>199</v>
      </c>
      <c r="Y69" s="1" t="s">
        <v>200</v>
      </c>
      <c r="Z69" s="1">
        <v>786559</v>
      </c>
    </row>
    <row r="70" spans="1:26" x14ac:dyDescent="0.75">
      <c r="A70" s="3">
        <v>55308</v>
      </c>
      <c r="B70" s="3" t="s">
        <v>82</v>
      </c>
      <c r="C70" s="4">
        <v>44630</v>
      </c>
      <c r="D70" s="3">
        <v>414714</v>
      </c>
      <c r="E70" s="6">
        <f t="shared" si="2"/>
        <v>4.1870814069572466</v>
      </c>
      <c r="F70" s="3">
        <v>10812</v>
      </c>
      <c r="G70" s="6">
        <f t="shared" si="3"/>
        <v>0.1091613115834569</v>
      </c>
      <c r="H70" s="3">
        <v>0</v>
      </c>
      <c r="I70" s="3">
        <v>403902</v>
      </c>
      <c r="J70" s="3">
        <v>0</v>
      </c>
      <c r="K70" s="3">
        <v>0</v>
      </c>
      <c r="L70" s="3">
        <v>0</v>
      </c>
      <c r="N70" s="5">
        <v>2.6100000000000002E-2</v>
      </c>
      <c r="O70" s="2">
        <v>64802</v>
      </c>
      <c r="P70" s="2" t="s">
        <v>82</v>
      </c>
      <c r="Q70" s="2">
        <v>0</v>
      </c>
      <c r="R70" s="2">
        <v>0</v>
      </c>
      <c r="S70" s="2">
        <v>0</v>
      </c>
      <c r="T70" s="2">
        <v>0</v>
      </c>
      <c r="U70" s="1">
        <v>97</v>
      </c>
      <c r="V70" s="1" t="s">
        <v>269</v>
      </c>
      <c r="W70" s="1" t="s">
        <v>82</v>
      </c>
      <c r="X70" s="1" t="s">
        <v>199</v>
      </c>
      <c r="Y70" s="1" t="s">
        <v>200</v>
      </c>
      <c r="Z70" s="1">
        <v>9904608</v>
      </c>
    </row>
    <row r="71" spans="1:26" x14ac:dyDescent="0.75">
      <c r="A71" s="3">
        <v>31159</v>
      </c>
      <c r="B71" s="3" t="s">
        <v>83</v>
      </c>
      <c r="C71" s="4">
        <v>44630</v>
      </c>
      <c r="D71" s="3">
        <v>1069317</v>
      </c>
      <c r="E71" s="6">
        <f t="shared" si="2"/>
        <v>26.421155366673254</v>
      </c>
      <c r="F71" s="3">
        <v>15294</v>
      </c>
      <c r="G71" s="6">
        <f t="shared" si="3"/>
        <v>0.37789088752717925</v>
      </c>
      <c r="H71" s="3">
        <v>0</v>
      </c>
      <c r="I71" s="3">
        <v>1054023</v>
      </c>
      <c r="J71" s="3">
        <v>1728</v>
      </c>
      <c r="K71" s="3">
        <v>18</v>
      </c>
      <c r="L71" s="3">
        <v>0</v>
      </c>
      <c r="N71" s="5">
        <v>1.43E-2</v>
      </c>
      <c r="O71" s="2">
        <v>35458</v>
      </c>
      <c r="P71" s="2" t="s">
        <v>83</v>
      </c>
      <c r="Q71" s="2">
        <v>56.31</v>
      </c>
      <c r="R71" s="2">
        <v>56.31</v>
      </c>
      <c r="S71" s="2">
        <v>0</v>
      </c>
      <c r="T71" s="2">
        <v>43.69</v>
      </c>
      <c r="U71" s="1">
        <v>99</v>
      </c>
      <c r="V71" s="1" t="s">
        <v>270</v>
      </c>
      <c r="W71" s="1" t="s">
        <v>83</v>
      </c>
      <c r="X71" s="1" t="s">
        <v>199</v>
      </c>
      <c r="Y71" s="1" t="s">
        <v>200</v>
      </c>
      <c r="Z71" s="1">
        <v>4047200</v>
      </c>
    </row>
    <row r="72" spans="1:26" x14ac:dyDescent="0.75">
      <c r="A72" s="3">
        <v>54529</v>
      </c>
      <c r="B72" s="3" t="s">
        <v>84</v>
      </c>
      <c r="C72" s="4">
        <v>44630</v>
      </c>
      <c r="D72" s="3">
        <v>30433</v>
      </c>
      <c r="E72" s="6">
        <f t="shared" si="2"/>
        <v>0.2668968377464902</v>
      </c>
      <c r="F72" s="3">
        <v>827</v>
      </c>
      <c r="G72" s="6">
        <f t="shared" si="3"/>
        <v>7.2527744493263036E-3</v>
      </c>
      <c r="H72" s="3">
        <v>0</v>
      </c>
      <c r="I72" s="3">
        <v>29606</v>
      </c>
      <c r="J72" s="3">
        <v>3</v>
      </c>
      <c r="K72" s="3">
        <v>0</v>
      </c>
      <c r="L72" s="3">
        <v>0</v>
      </c>
      <c r="N72" s="5">
        <v>2.7199999999999998E-2</v>
      </c>
      <c r="O72" s="2">
        <v>63359</v>
      </c>
      <c r="P72" s="2" t="s">
        <v>84</v>
      </c>
      <c r="Q72" s="2">
        <v>0</v>
      </c>
      <c r="R72" s="2">
        <v>0</v>
      </c>
      <c r="S72" s="2">
        <v>0</v>
      </c>
      <c r="T72" s="2">
        <v>0</v>
      </c>
      <c r="U72" s="1">
        <v>100</v>
      </c>
      <c r="V72" s="1" t="s">
        <v>271</v>
      </c>
      <c r="W72" s="1" t="s">
        <v>84</v>
      </c>
      <c r="X72" s="1" t="s">
        <v>199</v>
      </c>
      <c r="Y72" s="1" t="s">
        <v>200</v>
      </c>
      <c r="Z72" s="1">
        <v>11402533</v>
      </c>
    </row>
    <row r="73" spans="1:26" x14ac:dyDescent="0.75">
      <c r="A73" s="3">
        <v>56087</v>
      </c>
      <c r="B73" s="3" t="s">
        <v>85</v>
      </c>
      <c r="C73" s="4">
        <v>44630</v>
      </c>
      <c r="D73" s="3">
        <v>1812294</v>
      </c>
      <c r="E73" s="6">
        <f t="shared" si="2"/>
        <v>18.588082602623263</v>
      </c>
      <c r="F73" s="3">
        <v>44603</v>
      </c>
      <c r="G73" s="6">
        <f t="shared" si="3"/>
        <v>0.45747778689594809</v>
      </c>
      <c r="H73" s="3">
        <v>0</v>
      </c>
      <c r="I73" s="3">
        <v>1767691</v>
      </c>
      <c r="J73" s="3">
        <v>2377</v>
      </c>
      <c r="K73" s="3">
        <v>54</v>
      </c>
      <c r="L73" s="3">
        <v>0</v>
      </c>
      <c r="N73" s="5">
        <v>2.46E-2</v>
      </c>
      <c r="O73" s="2">
        <v>66252</v>
      </c>
      <c r="P73" s="2" t="s">
        <v>85</v>
      </c>
      <c r="Q73" s="2">
        <v>0</v>
      </c>
      <c r="R73" s="2">
        <v>0</v>
      </c>
      <c r="S73" s="2">
        <v>0</v>
      </c>
      <c r="T73" s="2">
        <v>0</v>
      </c>
      <c r="U73" s="1">
        <v>101</v>
      </c>
      <c r="V73" s="1" t="s">
        <v>272</v>
      </c>
      <c r="W73" s="1" t="s">
        <v>85</v>
      </c>
      <c r="X73" s="1" t="s">
        <v>199</v>
      </c>
      <c r="Y73" s="1" t="s">
        <v>200</v>
      </c>
      <c r="Z73" s="1">
        <v>9749763</v>
      </c>
    </row>
    <row r="74" spans="1:26" x14ac:dyDescent="0.75">
      <c r="A74" s="3">
        <v>58424</v>
      </c>
      <c r="B74" s="3" t="s">
        <v>86</v>
      </c>
      <c r="C74" s="4">
        <v>44630</v>
      </c>
      <c r="D74" s="3">
        <v>5847900</v>
      </c>
      <c r="E74" s="6">
        <f t="shared" si="2"/>
        <v>2.1379871978223042</v>
      </c>
      <c r="F74" s="3">
        <v>151413</v>
      </c>
      <c r="G74" s="6">
        <f t="shared" si="3"/>
        <v>5.5356462248647986E-2</v>
      </c>
      <c r="H74" s="3">
        <v>0</v>
      </c>
      <c r="I74" s="3">
        <v>5696487</v>
      </c>
      <c r="J74" s="3">
        <v>21311</v>
      </c>
      <c r="K74" s="3">
        <v>278</v>
      </c>
      <c r="L74" s="3">
        <v>0</v>
      </c>
      <c r="N74" s="5">
        <v>2.5899999999999999E-2</v>
      </c>
      <c r="O74" s="2">
        <v>68405</v>
      </c>
      <c r="P74" s="2" t="s">
        <v>86</v>
      </c>
      <c r="Q74" s="2">
        <v>0</v>
      </c>
      <c r="R74" s="2">
        <v>0</v>
      </c>
      <c r="S74" s="2">
        <v>0</v>
      </c>
      <c r="T74" s="2">
        <v>0</v>
      </c>
      <c r="U74" s="1">
        <v>106</v>
      </c>
      <c r="V74" s="1" t="s">
        <v>273</v>
      </c>
      <c r="W74" s="1" t="s">
        <v>86</v>
      </c>
      <c r="X74" s="1" t="s">
        <v>199</v>
      </c>
      <c r="Y74" s="1" t="s">
        <v>200</v>
      </c>
      <c r="Z74" s="1">
        <v>273523621</v>
      </c>
    </row>
    <row r="75" spans="1:26" x14ac:dyDescent="0.75">
      <c r="A75" s="3">
        <v>57645</v>
      </c>
      <c r="B75" s="3" t="s">
        <v>87</v>
      </c>
      <c r="C75" s="4">
        <v>44630</v>
      </c>
      <c r="D75" s="3">
        <v>42984261</v>
      </c>
      <c r="E75" s="6">
        <f t="shared" si="2"/>
        <v>3.1147916243758891</v>
      </c>
      <c r="F75" s="3">
        <v>515714</v>
      </c>
      <c r="G75" s="6">
        <f t="shared" si="3"/>
        <v>3.7370460964151211E-2</v>
      </c>
      <c r="H75" s="3">
        <v>0</v>
      </c>
      <c r="I75" s="3">
        <v>42468547</v>
      </c>
      <c r="J75" s="3">
        <v>4194</v>
      </c>
      <c r="K75" s="3">
        <v>255</v>
      </c>
      <c r="L75" s="3">
        <v>0</v>
      </c>
      <c r="N75" s="5">
        <v>1.2E-2</v>
      </c>
      <c r="O75" s="2">
        <v>67699</v>
      </c>
      <c r="P75" s="2" t="s">
        <v>87</v>
      </c>
      <c r="Q75" s="2">
        <v>68.2</v>
      </c>
      <c r="R75" s="2">
        <v>68.2</v>
      </c>
      <c r="S75" s="2">
        <v>1</v>
      </c>
      <c r="T75" s="2">
        <v>31.8</v>
      </c>
      <c r="U75" s="1">
        <v>109</v>
      </c>
      <c r="V75" s="1" t="s">
        <v>274</v>
      </c>
      <c r="W75" s="1" t="s">
        <v>87</v>
      </c>
      <c r="X75" s="1" t="s">
        <v>199</v>
      </c>
      <c r="Y75" s="1" t="s">
        <v>200</v>
      </c>
      <c r="Z75" s="1">
        <v>1380004385</v>
      </c>
    </row>
    <row r="76" spans="1:26" x14ac:dyDescent="0.75">
      <c r="A76" s="3">
        <v>60761</v>
      </c>
      <c r="B76" s="3" t="s">
        <v>88</v>
      </c>
      <c r="C76" s="4">
        <v>44630</v>
      </c>
      <c r="D76" s="3">
        <v>1332701</v>
      </c>
      <c r="E76" s="6">
        <f t="shared" si="2"/>
        <v>26.682175031092807</v>
      </c>
      <c r="F76" s="3">
        <v>6590</v>
      </c>
      <c r="G76" s="6">
        <f t="shared" si="3"/>
        <v>0.13193922226733651</v>
      </c>
      <c r="H76" s="3">
        <v>0</v>
      </c>
      <c r="I76" s="3">
        <v>1326111</v>
      </c>
      <c r="J76" s="3">
        <v>4057</v>
      </c>
      <c r="K76" s="3">
        <v>12</v>
      </c>
      <c r="L76" s="3">
        <v>0</v>
      </c>
      <c r="N76" s="5">
        <v>4.8999999999999998E-3</v>
      </c>
      <c r="O76" s="2">
        <v>71274</v>
      </c>
      <c r="P76" s="2" t="s">
        <v>88</v>
      </c>
      <c r="Q76" s="2">
        <v>0</v>
      </c>
      <c r="R76" s="2">
        <v>0</v>
      </c>
      <c r="S76" s="2">
        <v>0</v>
      </c>
      <c r="T76" s="2">
        <v>0</v>
      </c>
      <c r="U76" s="1">
        <v>111</v>
      </c>
      <c r="V76" s="1" t="s">
        <v>275</v>
      </c>
      <c r="W76" s="1" t="s">
        <v>88</v>
      </c>
      <c r="X76" s="1" t="s">
        <v>199</v>
      </c>
      <c r="Y76" s="1" t="s">
        <v>200</v>
      </c>
      <c r="Z76" s="1">
        <v>4994724</v>
      </c>
    </row>
    <row r="77" spans="1:26" x14ac:dyDescent="0.75">
      <c r="A77" s="3">
        <v>59203</v>
      </c>
      <c r="B77" s="3" t="s">
        <v>89</v>
      </c>
      <c r="C77" s="4">
        <v>44630</v>
      </c>
      <c r="D77" s="3">
        <v>7113591</v>
      </c>
      <c r="E77" s="6">
        <f t="shared" si="2"/>
        <v>8.4692712256467519</v>
      </c>
      <c r="F77" s="3">
        <v>138572</v>
      </c>
      <c r="G77" s="6">
        <f t="shared" si="3"/>
        <v>0.16498050735280137</v>
      </c>
      <c r="H77" s="3">
        <v>0</v>
      </c>
      <c r="I77" s="3">
        <v>6975019</v>
      </c>
      <c r="J77" s="3">
        <v>6424</v>
      </c>
      <c r="K77" s="3">
        <v>139</v>
      </c>
      <c r="L77" s="3">
        <v>0</v>
      </c>
      <c r="N77" s="5">
        <v>1.95E-2</v>
      </c>
      <c r="O77" s="2">
        <v>69853</v>
      </c>
      <c r="P77" s="2" t="s">
        <v>89</v>
      </c>
      <c r="Q77" s="2">
        <v>71.81</v>
      </c>
      <c r="R77" s="2">
        <v>71.81</v>
      </c>
      <c r="S77" s="2">
        <v>22.7</v>
      </c>
      <c r="T77" s="2">
        <v>28.19</v>
      </c>
      <c r="U77" s="1">
        <v>112</v>
      </c>
      <c r="V77" s="1" t="s">
        <v>276</v>
      </c>
      <c r="W77" s="1" t="s">
        <v>89</v>
      </c>
      <c r="X77" s="1" t="s">
        <v>199</v>
      </c>
      <c r="Y77" s="1" t="s">
        <v>200</v>
      </c>
      <c r="Z77" s="1">
        <v>83992953</v>
      </c>
    </row>
    <row r="78" spans="1:26" x14ac:dyDescent="0.75">
      <c r="A78" s="3">
        <v>59982</v>
      </c>
      <c r="B78" s="3" t="s">
        <v>90</v>
      </c>
      <c r="C78" s="4">
        <v>44630</v>
      </c>
      <c r="D78" s="3">
        <v>2311238</v>
      </c>
      <c r="E78" s="6">
        <f t="shared" si="2"/>
        <v>5.746131711395484</v>
      </c>
      <c r="F78" s="3">
        <v>25090</v>
      </c>
      <c r="G78" s="6">
        <f t="shared" si="3"/>
        <v>6.2378017598755602E-2</v>
      </c>
      <c r="H78" s="3">
        <v>0</v>
      </c>
      <c r="I78" s="3">
        <v>2286148</v>
      </c>
      <c r="J78" s="3">
        <v>699</v>
      </c>
      <c r="K78" s="3">
        <v>8</v>
      </c>
      <c r="L78" s="3">
        <v>0</v>
      </c>
      <c r="N78" s="5">
        <v>1.09E-2</v>
      </c>
      <c r="O78" s="2">
        <v>70566</v>
      </c>
      <c r="P78" s="2" t="s">
        <v>90</v>
      </c>
      <c r="Q78" s="2">
        <v>0</v>
      </c>
      <c r="R78" s="2">
        <v>0</v>
      </c>
      <c r="S78" s="2">
        <v>0</v>
      </c>
      <c r="T78" s="2">
        <v>0</v>
      </c>
      <c r="U78" s="1">
        <v>113</v>
      </c>
      <c r="V78" s="1" t="s">
        <v>277</v>
      </c>
      <c r="W78" s="1" t="s">
        <v>90</v>
      </c>
      <c r="X78" s="1" t="s">
        <v>199</v>
      </c>
      <c r="Y78" s="1" t="s">
        <v>200</v>
      </c>
      <c r="Z78" s="1">
        <v>40222503</v>
      </c>
    </row>
    <row r="79" spans="1:26" x14ac:dyDescent="0.75">
      <c r="A79" s="3">
        <v>56866</v>
      </c>
      <c r="B79" s="3" t="s">
        <v>91</v>
      </c>
      <c r="C79" s="4">
        <v>44630</v>
      </c>
      <c r="D79" s="3">
        <v>155877</v>
      </c>
      <c r="E79" s="6">
        <f t="shared" si="2"/>
        <v>42.539946783107048</v>
      </c>
      <c r="F79" s="3">
        <v>77</v>
      </c>
      <c r="G79" s="6">
        <f t="shared" si="3"/>
        <v>2.1013850037524734E-2</v>
      </c>
      <c r="H79" s="3">
        <v>0</v>
      </c>
      <c r="I79" s="3">
        <v>155800</v>
      </c>
      <c r="J79" s="3">
        <v>2633</v>
      </c>
      <c r="K79" s="3">
        <v>1</v>
      </c>
      <c r="L79" s="3">
        <v>0</v>
      </c>
      <c r="N79" s="5">
        <v>5.0000000000000001E-4</v>
      </c>
      <c r="O79" s="2">
        <v>66961</v>
      </c>
      <c r="P79" s="2" t="s">
        <v>91</v>
      </c>
      <c r="Q79" s="2">
        <v>0</v>
      </c>
      <c r="R79" s="2">
        <v>0</v>
      </c>
      <c r="S79" s="2">
        <v>0</v>
      </c>
      <c r="T79" s="2">
        <v>0</v>
      </c>
      <c r="U79" s="1">
        <v>114</v>
      </c>
      <c r="V79" s="1" t="s">
        <v>278</v>
      </c>
      <c r="W79" s="1" t="s">
        <v>91</v>
      </c>
      <c r="X79" s="1" t="s">
        <v>199</v>
      </c>
      <c r="Y79" s="1" t="s">
        <v>200</v>
      </c>
      <c r="Z79" s="1">
        <v>366425</v>
      </c>
    </row>
    <row r="80" spans="1:26" x14ac:dyDescent="0.75">
      <c r="A80" s="3">
        <v>61540</v>
      </c>
      <c r="B80" s="3" t="s">
        <v>92</v>
      </c>
      <c r="C80" s="4">
        <v>44630</v>
      </c>
      <c r="D80" s="3">
        <v>3704109</v>
      </c>
      <c r="E80" s="6">
        <f t="shared" si="2"/>
        <v>40.188230316049868</v>
      </c>
      <c r="F80" s="3">
        <v>10358</v>
      </c>
      <c r="G80" s="6">
        <f t="shared" si="3"/>
        <v>0.11238051839555599</v>
      </c>
      <c r="H80" s="3">
        <v>0</v>
      </c>
      <c r="I80" s="3">
        <v>3693751</v>
      </c>
      <c r="J80" s="3">
        <v>13135</v>
      </c>
      <c r="K80" s="3">
        <v>36</v>
      </c>
      <c r="L80" s="3">
        <v>0</v>
      </c>
      <c r="N80" s="5">
        <v>2.8E-3</v>
      </c>
      <c r="O80" s="2">
        <v>72679</v>
      </c>
      <c r="P80" s="2" t="s">
        <v>92</v>
      </c>
      <c r="Q80" s="2">
        <v>72.03</v>
      </c>
      <c r="R80" s="2">
        <v>72.03</v>
      </c>
      <c r="S80" s="2">
        <v>54.99</v>
      </c>
      <c r="T80" s="2">
        <v>27.97</v>
      </c>
      <c r="U80" s="1">
        <v>115</v>
      </c>
      <c r="V80" s="1" t="s">
        <v>279</v>
      </c>
      <c r="W80" s="1" t="s">
        <v>92</v>
      </c>
      <c r="X80" s="1" t="s">
        <v>199</v>
      </c>
      <c r="Y80" s="1" t="s">
        <v>200</v>
      </c>
      <c r="Z80" s="1">
        <v>9216900</v>
      </c>
    </row>
    <row r="81" spans="1:26" x14ac:dyDescent="0.75">
      <c r="A81" s="3">
        <v>62319</v>
      </c>
      <c r="B81" s="3" t="s">
        <v>93</v>
      </c>
      <c r="C81" s="4">
        <v>44630</v>
      </c>
      <c r="D81" s="3">
        <v>13214498</v>
      </c>
      <c r="E81" s="6">
        <f t="shared" si="2"/>
        <v>22.189093757780228</v>
      </c>
      <c r="F81" s="3">
        <v>156493</v>
      </c>
      <c r="G81" s="6">
        <f t="shared" si="3"/>
        <v>0.26277485905528164</v>
      </c>
      <c r="H81" s="3">
        <v>0</v>
      </c>
      <c r="I81" s="3">
        <v>13058005</v>
      </c>
      <c r="J81" s="3">
        <v>55156</v>
      </c>
      <c r="K81" s="3">
        <v>136</v>
      </c>
      <c r="L81" s="3">
        <v>0</v>
      </c>
      <c r="N81" s="5">
        <v>1.18E-2</v>
      </c>
      <c r="O81" s="2">
        <v>73416</v>
      </c>
      <c r="P81" s="2" t="s">
        <v>93</v>
      </c>
      <c r="Q81" s="2">
        <v>83.69</v>
      </c>
      <c r="R81" s="2">
        <v>83.69</v>
      </c>
      <c r="S81" s="2">
        <v>57.94</v>
      </c>
      <c r="T81" s="2">
        <v>16.309999999999999</v>
      </c>
      <c r="U81" s="1">
        <v>116</v>
      </c>
      <c r="V81" s="1" t="s">
        <v>280</v>
      </c>
      <c r="W81" s="1" t="s">
        <v>93</v>
      </c>
      <c r="X81" s="1" t="s">
        <v>199</v>
      </c>
      <c r="Y81" s="1" t="s">
        <v>200</v>
      </c>
      <c r="Z81" s="1">
        <v>59554023</v>
      </c>
    </row>
    <row r="82" spans="1:26" x14ac:dyDescent="0.75">
      <c r="A82" s="3">
        <v>63098</v>
      </c>
      <c r="B82" s="3" t="s">
        <v>94</v>
      </c>
      <c r="C82" s="4">
        <v>44630</v>
      </c>
      <c r="D82" s="3">
        <v>128273</v>
      </c>
      <c r="E82" s="6">
        <f t="shared" si="2"/>
        <v>4.3318482176416619</v>
      </c>
      <c r="F82" s="3">
        <v>2837</v>
      </c>
      <c r="G82" s="6">
        <f t="shared" si="3"/>
        <v>9.5807016234510725E-2</v>
      </c>
      <c r="H82" s="3">
        <v>0</v>
      </c>
      <c r="I82" s="3">
        <v>125436</v>
      </c>
      <c r="J82" s="3">
        <v>27</v>
      </c>
      <c r="K82" s="3">
        <v>2</v>
      </c>
      <c r="L82" s="3">
        <v>0</v>
      </c>
      <c r="N82" s="5">
        <v>2.2100000000000002E-2</v>
      </c>
      <c r="O82" s="2">
        <v>74113</v>
      </c>
      <c r="P82" s="2" t="s">
        <v>94</v>
      </c>
      <c r="Q82" s="2">
        <v>25.23</v>
      </c>
      <c r="R82" s="2">
        <v>25.23</v>
      </c>
      <c r="S82" s="2">
        <v>0.77</v>
      </c>
      <c r="T82" s="2">
        <v>74.77</v>
      </c>
      <c r="U82" s="1">
        <v>117</v>
      </c>
      <c r="V82" s="1" t="s">
        <v>281</v>
      </c>
      <c r="W82" s="1" t="s">
        <v>94</v>
      </c>
      <c r="X82" s="1" t="s">
        <v>199</v>
      </c>
      <c r="Y82" s="1" t="s">
        <v>200</v>
      </c>
      <c r="Z82" s="1">
        <v>2961161</v>
      </c>
    </row>
    <row r="83" spans="1:26" x14ac:dyDescent="0.75">
      <c r="A83" s="3">
        <v>64656</v>
      </c>
      <c r="B83" s="3" t="s">
        <v>95</v>
      </c>
      <c r="C83" s="4">
        <v>44630</v>
      </c>
      <c r="D83" s="3">
        <v>1654677</v>
      </c>
      <c r="E83" s="6">
        <f t="shared" si="2"/>
        <v>16.217331135317167</v>
      </c>
      <c r="F83" s="3">
        <v>13882</v>
      </c>
      <c r="G83" s="6">
        <f t="shared" si="3"/>
        <v>0.13605615526200757</v>
      </c>
      <c r="H83" s="3">
        <v>0</v>
      </c>
      <c r="I83" s="3">
        <v>1640795</v>
      </c>
      <c r="J83" s="3">
        <v>0</v>
      </c>
      <c r="K83" s="3">
        <v>0</v>
      </c>
      <c r="L83" s="3">
        <v>0</v>
      </c>
      <c r="N83" s="5">
        <v>8.3999999999999995E-3</v>
      </c>
      <c r="O83" s="2">
        <v>75887</v>
      </c>
      <c r="P83" s="2" t="s">
        <v>95</v>
      </c>
      <c r="Q83" s="2">
        <v>0</v>
      </c>
      <c r="R83" s="2">
        <v>0</v>
      </c>
      <c r="S83" s="2">
        <v>0</v>
      </c>
      <c r="T83" s="2">
        <v>0</v>
      </c>
      <c r="U83" s="1">
        <v>118</v>
      </c>
      <c r="V83" s="1" t="s">
        <v>282</v>
      </c>
      <c r="W83" s="1" t="s">
        <v>95</v>
      </c>
      <c r="X83" s="1" t="s">
        <v>199</v>
      </c>
      <c r="Y83" s="1" t="s">
        <v>200</v>
      </c>
      <c r="Z83" s="1">
        <v>10203140</v>
      </c>
    </row>
    <row r="84" spans="1:26" x14ac:dyDescent="0.75">
      <c r="A84" s="3">
        <v>63877</v>
      </c>
      <c r="B84" s="3" t="s">
        <v>96</v>
      </c>
      <c r="C84" s="4">
        <v>44630</v>
      </c>
      <c r="D84" s="3">
        <v>5610818</v>
      </c>
      <c r="E84" s="6">
        <f t="shared" si="2"/>
        <v>4.4588329759727543</v>
      </c>
      <c r="F84" s="3">
        <v>25718</v>
      </c>
      <c r="G84" s="6">
        <f t="shared" si="3"/>
        <v>2.0437709167552269E-2</v>
      </c>
      <c r="H84" s="3">
        <v>0</v>
      </c>
      <c r="I84" s="3">
        <v>5585100</v>
      </c>
      <c r="J84" s="3">
        <v>61063</v>
      </c>
      <c r="K84" s="3">
        <v>188</v>
      </c>
      <c r="L84" s="3">
        <v>0</v>
      </c>
      <c r="N84" s="5">
        <v>4.5999999999999999E-3</v>
      </c>
      <c r="O84" s="2">
        <v>74859</v>
      </c>
      <c r="P84" s="2" t="s">
        <v>96</v>
      </c>
      <c r="Q84" s="2">
        <v>0</v>
      </c>
      <c r="R84" s="2">
        <v>0</v>
      </c>
      <c r="S84" s="2">
        <v>0</v>
      </c>
      <c r="T84" s="2">
        <v>0</v>
      </c>
      <c r="U84" s="1">
        <v>119</v>
      </c>
      <c r="V84" s="1" t="s">
        <v>283</v>
      </c>
      <c r="W84" s="1" t="s">
        <v>96</v>
      </c>
      <c r="X84" s="1" t="s">
        <v>199</v>
      </c>
      <c r="Y84" s="1" t="s">
        <v>200</v>
      </c>
      <c r="Z84" s="1">
        <v>125836021</v>
      </c>
    </row>
    <row r="85" spans="1:26" x14ac:dyDescent="0.75">
      <c r="A85" s="3">
        <v>65435</v>
      </c>
      <c r="B85" s="3" t="s">
        <v>97</v>
      </c>
      <c r="C85" s="4">
        <v>44630</v>
      </c>
      <c r="D85" s="3">
        <v>1392590</v>
      </c>
      <c r="E85" s="6">
        <f t="shared" si="2"/>
        <v>7.4253883347090071</v>
      </c>
      <c r="F85" s="3">
        <v>18988</v>
      </c>
      <c r="G85" s="6">
        <f t="shared" si="3"/>
        <v>0.10124535843245652</v>
      </c>
      <c r="H85" s="3">
        <v>0</v>
      </c>
      <c r="I85" s="3">
        <v>1373602</v>
      </c>
      <c r="J85" s="3">
        <v>163</v>
      </c>
      <c r="K85" s="3">
        <v>5</v>
      </c>
      <c r="L85" s="3">
        <v>0</v>
      </c>
      <c r="N85" s="5">
        <v>1.3599999999999999E-2</v>
      </c>
      <c r="O85" s="2">
        <v>76582</v>
      </c>
      <c r="P85" s="2" t="s">
        <v>97</v>
      </c>
      <c r="Q85" s="2">
        <v>0</v>
      </c>
      <c r="R85" s="2">
        <v>0</v>
      </c>
      <c r="S85" s="2">
        <v>0</v>
      </c>
      <c r="T85" s="2">
        <v>0</v>
      </c>
      <c r="U85" s="1">
        <v>120</v>
      </c>
      <c r="V85" s="1" t="s">
        <v>284</v>
      </c>
      <c r="W85" s="1" t="s">
        <v>97</v>
      </c>
      <c r="X85" s="1" t="s">
        <v>199</v>
      </c>
      <c r="Y85" s="1" t="s">
        <v>200</v>
      </c>
      <c r="Z85" s="1">
        <v>18754440</v>
      </c>
    </row>
    <row r="86" spans="1:26" x14ac:dyDescent="0.75">
      <c r="A86" s="3">
        <v>66214</v>
      </c>
      <c r="B86" s="3" t="s">
        <v>98</v>
      </c>
      <c r="C86" s="4">
        <v>44630</v>
      </c>
      <c r="D86" s="3">
        <v>323140</v>
      </c>
      <c r="E86" s="6">
        <f t="shared" si="2"/>
        <v>0.60095255275583814</v>
      </c>
      <c r="F86" s="3">
        <v>5644</v>
      </c>
      <c r="G86" s="6">
        <f t="shared" si="3"/>
        <v>1.0496305650040076E-2</v>
      </c>
      <c r="H86" s="3">
        <v>0</v>
      </c>
      <c r="I86" s="3">
        <v>317496</v>
      </c>
      <c r="J86" s="3">
        <v>11</v>
      </c>
      <c r="K86" s="3">
        <v>3</v>
      </c>
      <c r="L86" s="3">
        <v>0</v>
      </c>
      <c r="N86" s="5">
        <v>1.7500000000000002E-2</v>
      </c>
      <c r="O86" s="2">
        <v>77284</v>
      </c>
      <c r="P86" s="2" t="s">
        <v>98</v>
      </c>
      <c r="Q86" s="2">
        <v>12.84</v>
      </c>
      <c r="R86" s="2">
        <v>12.84</v>
      </c>
      <c r="S86" s="2">
        <v>0.33</v>
      </c>
      <c r="T86" s="2">
        <v>87.16</v>
      </c>
      <c r="U86" s="1">
        <v>121</v>
      </c>
      <c r="V86" s="1" t="s">
        <v>285</v>
      </c>
      <c r="W86" s="1" t="s">
        <v>98</v>
      </c>
      <c r="X86" s="1" t="s">
        <v>199</v>
      </c>
      <c r="Y86" s="1" t="s">
        <v>200</v>
      </c>
      <c r="Z86" s="1">
        <v>53771300</v>
      </c>
    </row>
    <row r="87" spans="1:26" x14ac:dyDescent="0.75">
      <c r="A87" s="3">
        <v>69330</v>
      </c>
      <c r="B87" s="3" t="s">
        <v>99</v>
      </c>
      <c r="C87" s="4">
        <v>44630</v>
      </c>
      <c r="D87" s="3">
        <v>200707</v>
      </c>
      <c r="E87" s="6">
        <f t="shared" si="2"/>
        <v>3.0448904666545302</v>
      </c>
      <c r="F87" s="3">
        <v>2971</v>
      </c>
      <c r="G87" s="6">
        <f t="shared" si="3"/>
        <v>4.5072516536197586E-2</v>
      </c>
      <c r="H87" s="3">
        <v>0</v>
      </c>
      <c r="I87" s="3">
        <v>197736</v>
      </c>
      <c r="J87" s="3">
        <v>36</v>
      </c>
      <c r="K87" s="3">
        <v>2</v>
      </c>
      <c r="L87" s="3">
        <v>0</v>
      </c>
      <c r="N87" s="5">
        <v>1.4800000000000001E-2</v>
      </c>
      <c r="O87" s="2">
        <v>79645</v>
      </c>
      <c r="P87" s="2" t="s">
        <v>99</v>
      </c>
      <c r="Q87" s="2">
        <v>20.420000000000002</v>
      </c>
      <c r="R87" s="2">
        <v>20.420000000000002</v>
      </c>
      <c r="S87" s="2">
        <v>0</v>
      </c>
      <c r="T87" s="2">
        <v>79.58</v>
      </c>
      <c r="U87" s="1">
        <v>122</v>
      </c>
      <c r="V87" s="1" t="s">
        <v>286</v>
      </c>
      <c r="W87" s="1" t="s">
        <v>99</v>
      </c>
      <c r="X87" s="1" t="s">
        <v>199</v>
      </c>
      <c r="Y87" s="1" t="s">
        <v>200</v>
      </c>
      <c r="Z87" s="1">
        <v>6591600</v>
      </c>
    </row>
    <row r="88" spans="1:26" x14ac:dyDescent="0.75">
      <c r="A88" s="3">
        <v>22590</v>
      </c>
      <c r="B88" s="3" t="s">
        <v>100</v>
      </c>
      <c r="C88" s="4">
        <v>44630</v>
      </c>
      <c r="D88" s="3">
        <v>133501</v>
      </c>
      <c r="E88" s="6">
        <f t="shared" si="2"/>
        <v>0.79850009907906416</v>
      </c>
      <c r="F88" s="3">
        <v>3044</v>
      </c>
      <c r="G88" s="6">
        <f t="shared" si="3"/>
        <v>1.8206862132842984E-2</v>
      </c>
      <c r="H88" s="3">
        <v>0</v>
      </c>
      <c r="I88" s="3">
        <v>130457</v>
      </c>
      <c r="J88" s="3">
        <v>238</v>
      </c>
      <c r="K88" s="3">
        <v>1</v>
      </c>
      <c r="L88" s="3">
        <v>0</v>
      </c>
      <c r="N88" s="5">
        <v>2.2800000000000001E-2</v>
      </c>
      <c r="O88" s="2">
        <v>25375</v>
      </c>
      <c r="P88" s="2" t="s">
        <v>100</v>
      </c>
      <c r="Q88" s="2">
        <v>0</v>
      </c>
      <c r="R88" s="2">
        <v>0</v>
      </c>
      <c r="S88" s="2">
        <v>0</v>
      </c>
      <c r="T88" s="2">
        <v>0</v>
      </c>
      <c r="U88" s="1">
        <v>123</v>
      </c>
      <c r="V88" s="1" t="s">
        <v>287</v>
      </c>
      <c r="W88" s="1" t="s">
        <v>100</v>
      </c>
      <c r="X88" s="1" t="s">
        <v>199</v>
      </c>
      <c r="Y88" s="1" t="s">
        <v>200</v>
      </c>
      <c r="Z88" s="1">
        <v>16718971</v>
      </c>
    </row>
    <row r="89" spans="1:26" x14ac:dyDescent="0.75">
      <c r="A89" s="3">
        <v>66993</v>
      </c>
      <c r="B89" s="3" t="s">
        <v>101</v>
      </c>
      <c r="C89" s="4">
        <v>44630</v>
      </c>
      <c r="D89" s="3">
        <v>3010</v>
      </c>
      <c r="E89" s="6">
        <f t="shared" si="2"/>
        <v>2.5199671818227483</v>
      </c>
      <c r="F89" s="3">
        <v>13</v>
      </c>
      <c r="G89" s="6">
        <f t="shared" si="3"/>
        <v>1.0883579190596588E-2</v>
      </c>
      <c r="H89" s="3">
        <v>0</v>
      </c>
      <c r="I89" s="3">
        <v>2997</v>
      </c>
      <c r="J89" s="3">
        <v>4</v>
      </c>
      <c r="K89" s="3">
        <v>0</v>
      </c>
      <c r="L89" s="3">
        <v>0</v>
      </c>
      <c r="N89" s="5">
        <v>4.3E-3</v>
      </c>
      <c r="O89" s="2">
        <v>77548</v>
      </c>
      <c r="P89" s="2" t="s">
        <v>101</v>
      </c>
      <c r="Q89" s="2">
        <v>0</v>
      </c>
      <c r="R89" s="2">
        <v>0</v>
      </c>
      <c r="S89" s="2">
        <v>0</v>
      </c>
      <c r="T89" s="2">
        <v>0</v>
      </c>
      <c r="U89" s="1">
        <v>124</v>
      </c>
      <c r="V89" s="1" t="s">
        <v>288</v>
      </c>
      <c r="W89" s="1" t="s">
        <v>101</v>
      </c>
      <c r="X89" s="1" t="s">
        <v>199</v>
      </c>
      <c r="Y89" s="1" t="s">
        <v>200</v>
      </c>
      <c r="Z89" s="1">
        <v>119446</v>
      </c>
    </row>
    <row r="90" spans="1:26" x14ac:dyDescent="0.75">
      <c r="A90" s="3">
        <v>107501</v>
      </c>
      <c r="B90" s="3" t="s">
        <v>102</v>
      </c>
      <c r="C90" s="4">
        <v>44630</v>
      </c>
      <c r="D90" s="3">
        <v>5538</v>
      </c>
      <c r="E90" s="6">
        <f t="shared" si="2"/>
        <v>10.411340051135509</v>
      </c>
      <c r="F90" s="3">
        <v>42</v>
      </c>
      <c r="G90" s="6">
        <f t="shared" si="3"/>
        <v>7.8959241991276879E-2</v>
      </c>
      <c r="H90" s="3">
        <v>0</v>
      </c>
      <c r="I90" s="3">
        <v>5496</v>
      </c>
      <c r="J90" s="3">
        <v>1</v>
      </c>
      <c r="K90" s="3">
        <v>0</v>
      </c>
      <c r="L90" s="3">
        <v>0</v>
      </c>
      <c r="N90" s="5">
        <v>7.6E-3</v>
      </c>
      <c r="O90" s="2">
        <v>121519</v>
      </c>
      <c r="P90" s="2" t="s">
        <v>102</v>
      </c>
      <c r="Q90" s="2">
        <v>0</v>
      </c>
      <c r="R90" s="2">
        <v>0</v>
      </c>
      <c r="S90" s="2">
        <v>0</v>
      </c>
      <c r="T90" s="2">
        <v>0</v>
      </c>
      <c r="U90" s="1">
        <v>125</v>
      </c>
      <c r="V90" s="1" t="s">
        <v>289</v>
      </c>
      <c r="W90" s="1" t="s">
        <v>102</v>
      </c>
      <c r="X90" s="1" t="s">
        <v>199</v>
      </c>
      <c r="Y90" s="1" t="s">
        <v>200</v>
      </c>
      <c r="Z90" s="1">
        <v>53192</v>
      </c>
    </row>
    <row r="91" spans="1:26" x14ac:dyDescent="0.75">
      <c r="A91" s="3">
        <v>68551</v>
      </c>
      <c r="B91" s="3" t="s">
        <v>103</v>
      </c>
      <c r="C91" s="4">
        <v>44630</v>
      </c>
      <c r="D91" s="3">
        <v>624922</v>
      </c>
      <c r="E91" s="6">
        <f t="shared" si="2"/>
        <v>14.633246248796706</v>
      </c>
      <c r="F91" s="3">
        <v>2549</v>
      </c>
      <c r="G91" s="6">
        <f t="shared" si="3"/>
        <v>5.9687680523621826E-2</v>
      </c>
      <c r="H91" s="3">
        <v>0</v>
      </c>
      <c r="I91" s="3">
        <v>622373</v>
      </c>
      <c r="J91" s="3">
        <v>349</v>
      </c>
      <c r="K91" s="3">
        <v>0</v>
      </c>
      <c r="L91" s="3">
        <v>0</v>
      </c>
      <c r="N91" s="5">
        <v>4.1000000000000003E-3</v>
      </c>
      <c r="O91" s="2">
        <v>78955</v>
      </c>
      <c r="P91" s="2" t="s">
        <v>103</v>
      </c>
      <c r="Q91" s="2">
        <v>0</v>
      </c>
      <c r="R91" s="2">
        <v>0</v>
      </c>
      <c r="S91" s="2">
        <v>0</v>
      </c>
      <c r="T91" s="2">
        <v>0</v>
      </c>
      <c r="U91" s="1">
        <v>127</v>
      </c>
      <c r="V91" s="1" t="s">
        <v>290</v>
      </c>
      <c r="W91" s="1" t="s">
        <v>103</v>
      </c>
      <c r="X91" s="1" t="s">
        <v>199</v>
      </c>
      <c r="Y91" s="1" t="s">
        <v>200</v>
      </c>
      <c r="Z91" s="1">
        <v>4270563</v>
      </c>
    </row>
    <row r="92" spans="1:26" x14ac:dyDescent="0.75">
      <c r="A92" s="3">
        <v>70109</v>
      </c>
      <c r="B92" s="3" t="s">
        <v>104</v>
      </c>
      <c r="C92" s="4">
        <v>44630</v>
      </c>
      <c r="D92" s="3">
        <v>145094</v>
      </c>
      <c r="E92" s="6">
        <f t="shared" si="2"/>
        <v>1.9942668299165041</v>
      </c>
      <c r="F92" s="3">
        <v>637</v>
      </c>
      <c r="G92" s="6">
        <f t="shared" si="3"/>
        <v>8.7553446087144399E-3</v>
      </c>
      <c r="H92" s="3">
        <v>0</v>
      </c>
      <c r="I92" s="3">
        <v>144457</v>
      </c>
      <c r="J92" s="3">
        <v>335</v>
      </c>
      <c r="K92" s="3">
        <v>3</v>
      </c>
      <c r="L92" s="3">
        <v>0</v>
      </c>
      <c r="N92" s="5">
        <v>4.4000000000000003E-3</v>
      </c>
      <c r="O92" s="2">
        <v>80329</v>
      </c>
      <c r="P92" s="2" t="s">
        <v>104</v>
      </c>
      <c r="Q92" s="2">
        <v>0</v>
      </c>
      <c r="R92" s="2">
        <v>0</v>
      </c>
      <c r="S92" s="2">
        <v>0</v>
      </c>
      <c r="T92" s="2">
        <v>0</v>
      </c>
      <c r="U92" s="1">
        <v>129</v>
      </c>
      <c r="V92" s="1" t="s">
        <v>291</v>
      </c>
      <c r="W92" s="1" t="s">
        <v>104</v>
      </c>
      <c r="X92" s="1" t="s">
        <v>199</v>
      </c>
      <c r="Y92" s="1" t="s">
        <v>200</v>
      </c>
      <c r="Z92" s="1">
        <v>7275556</v>
      </c>
    </row>
    <row r="93" spans="1:26" x14ac:dyDescent="0.75">
      <c r="A93" s="3">
        <v>71667</v>
      </c>
      <c r="B93" s="3" t="s">
        <v>105</v>
      </c>
      <c r="C93" s="4">
        <v>44630</v>
      </c>
      <c r="D93" s="3">
        <v>1082419</v>
      </c>
      <c r="E93" s="6">
        <f t="shared" si="2"/>
        <v>15.858592014993315</v>
      </c>
      <c r="F93" s="3">
        <v>10185</v>
      </c>
      <c r="G93" s="6">
        <f t="shared" si="3"/>
        <v>0.14922110538775363</v>
      </c>
      <c r="H93" s="3">
        <v>0</v>
      </c>
      <c r="I93" s="3">
        <v>1072234</v>
      </c>
      <c r="J93" s="3">
        <v>956</v>
      </c>
      <c r="K93" s="3">
        <v>9</v>
      </c>
      <c r="L93" s="3">
        <v>0</v>
      </c>
      <c r="N93" s="5">
        <v>9.4000000000000004E-3</v>
      </c>
      <c r="O93" s="2">
        <v>81756</v>
      </c>
      <c r="P93" s="2" t="s">
        <v>105</v>
      </c>
      <c r="Q93" s="2">
        <v>36.200000000000003</v>
      </c>
      <c r="R93" s="2">
        <v>36.200000000000003</v>
      </c>
      <c r="S93" s="2">
        <v>6.83</v>
      </c>
      <c r="T93" s="2">
        <v>63.8</v>
      </c>
      <c r="U93" s="1">
        <v>130</v>
      </c>
      <c r="V93" s="1" t="s">
        <v>292</v>
      </c>
      <c r="W93" s="1" t="s">
        <v>105</v>
      </c>
      <c r="X93" s="1" t="s">
        <v>199</v>
      </c>
      <c r="Y93" s="1" t="s">
        <v>200</v>
      </c>
      <c r="Z93" s="1">
        <v>6825442</v>
      </c>
    </row>
    <row r="94" spans="1:26" x14ac:dyDescent="0.75">
      <c r="A94" s="3">
        <v>73225</v>
      </c>
      <c r="B94" s="3" t="s">
        <v>106</v>
      </c>
      <c r="C94" s="4">
        <v>44630</v>
      </c>
      <c r="D94" s="3">
        <v>7392</v>
      </c>
      <c r="E94" s="6">
        <f t="shared" si="2"/>
        <v>0.14615405451949581</v>
      </c>
      <c r="F94" s="3">
        <v>294</v>
      </c>
      <c r="G94" s="6">
        <f t="shared" si="3"/>
        <v>5.8129453502072199E-3</v>
      </c>
      <c r="H94" s="3">
        <v>0</v>
      </c>
      <c r="I94" s="3">
        <v>7098</v>
      </c>
      <c r="J94" s="3">
        <v>5</v>
      </c>
      <c r="K94" s="3">
        <v>0</v>
      </c>
      <c r="L94" s="3">
        <v>0</v>
      </c>
      <c r="N94" s="5">
        <v>3.9800000000000002E-2</v>
      </c>
      <c r="O94" s="2">
        <v>83081</v>
      </c>
      <c r="P94" s="2" t="s">
        <v>106</v>
      </c>
      <c r="Q94" s="2">
        <v>0</v>
      </c>
      <c r="R94" s="2">
        <v>0</v>
      </c>
      <c r="S94" s="2">
        <v>0</v>
      </c>
      <c r="T94" s="2">
        <v>0</v>
      </c>
      <c r="U94" s="1">
        <v>131</v>
      </c>
      <c r="V94" s="1" t="s">
        <v>293</v>
      </c>
      <c r="W94" s="1" t="s">
        <v>106</v>
      </c>
      <c r="X94" s="1" t="s">
        <v>199</v>
      </c>
      <c r="Y94" s="1" t="s">
        <v>200</v>
      </c>
      <c r="Z94" s="1">
        <v>5057677</v>
      </c>
    </row>
    <row r="95" spans="1:26" x14ac:dyDescent="0.75">
      <c r="A95" s="3">
        <v>74004</v>
      </c>
      <c r="B95" s="3" t="s">
        <v>107</v>
      </c>
      <c r="C95" s="4">
        <v>44630</v>
      </c>
      <c r="D95" s="3">
        <v>499465</v>
      </c>
      <c r="E95" s="6">
        <f t="shared" si="2"/>
        <v>7.2688711736243876</v>
      </c>
      <c r="F95" s="3">
        <v>6326</v>
      </c>
      <c r="G95" s="6">
        <f t="shared" si="3"/>
        <v>9.206426685422979E-2</v>
      </c>
      <c r="H95" s="3">
        <v>0</v>
      </c>
      <c r="I95" s="3">
        <v>493139</v>
      </c>
      <c r="J95" s="3">
        <v>333</v>
      </c>
      <c r="K95" s="3">
        <v>5</v>
      </c>
      <c r="L95" s="3">
        <v>0</v>
      </c>
      <c r="N95" s="5">
        <v>1.2699999999999999E-2</v>
      </c>
      <c r="O95" s="2">
        <v>83785</v>
      </c>
      <c r="P95" s="2" t="s">
        <v>107</v>
      </c>
      <c r="Q95" s="2">
        <v>0</v>
      </c>
      <c r="R95" s="2">
        <v>0</v>
      </c>
      <c r="S95" s="2">
        <v>0</v>
      </c>
      <c r="T95" s="2">
        <v>0</v>
      </c>
      <c r="U95" s="1">
        <v>132</v>
      </c>
      <c r="V95" s="1" t="s">
        <v>294</v>
      </c>
      <c r="W95" s="1" t="s">
        <v>107</v>
      </c>
      <c r="X95" s="1" t="s">
        <v>199</v>
      </c>
      <c r="Y95" s="1" t="s">
        <v>200</v>
      </c>
      <c r="Z95" s="1">
        <v>6871287</v>
      </c>
    </row>
    <row r="96" spans="1:26" x14ac:dyDescent="0.75">
      <c r="A96" s="3">
        <v>108280</v>
      </c>
      <c r="B96" s="3" t="s">
        <v>108</v>
      </c>
      <c r="C96" s="4">
        <v>44630</v>
      </c>
      <c r="D96" s="3">
        <v>22822</v>
      </c>
      <c r="E96" s="6">
        <f t="shared" si="2"/>
        <v>12.428320145510785</v>
      </c>
      <c r="F96" s="3">
        <v>364</v>
      </c>
      <c r="G96" s="6">
        <f t="shared" si="3"/>
        <v>0.19822577043930972</v>
      </c>
      <c r="H96" s="3">
        <v>0</v>
      </c>
      <c r="I96" s="3">
        <v>22458</v>
      </c>
      <c r="J96" s="3">
        <v>11</v>
      </c>
      <c r="K96" s="3">
        <v>0</v>
      </c>
      <c r="L96" s="3">
        <v>0</v>
      </c>
      <c r="N96" s="5">
        <v>1.5900000000000001E-2</v>
      </c>
      <c r="O96" s="2">
        <v>122213</v>
      </c>
      <c r="P96" s="2" t="s">
        <v>108</v>
      </c>
      <c r="Q96" s="2">
        <v>0</v>
      </c>
      <c r="R96" s="2">
        <v>0</v>
      </c>
      <c r="S96" s="2">
        <v>0</v>
      </c>
      <c r="T96" s="2">
        <v>0</v>
      </c>
      <c r="U96" s="1">
        <v>133</v>
      </c>
      <c r="V96" s="1" t="s">
        <v>295</v>
      </c>
      <c r="W96" s="1" t="s">
        <v>108</v>
      </c>
      <c r="X96" s="1" t="s">
        <v>199</v>
      </c>
      <c r="Y96" s="1" t="s">
        <v>200</v>
      </c>
      <c r="Z96" s="1">
        <v>183629</v>
      </c>
    </row>
    <row r="97" spans="1:26" x14ac:dyDescent="0.75">
      <c r="A97" s="3">
        <v>74783</v>
      </c>
      <c r="B97" s="3" t="s">
        <v>109</v>
      </c>
      <c r="C97" s="4">
        <v>44630</v>
      </c>
      <c r="D97" s="3">
        <v>13590</v>
      </c>
      <c r="E97" s="6">
        <f t="shared" si="2"/>
        <v>35.634685476046883</v>
      </c>
      <c r="F97" s="3">
        <v>79</v>
      </c>
      <c r="G97" s="6">
        <f t="shared" si="3"/>
        <v>0.20714791409916877</v>
      </c>
      <c r="H97" s="3">
        <v>0</v>
      </c>
      <c r="I97" s="3">
        <v>13511</v>
      </c>
      <c r="J97" s="3">
        <v>119</v>
      </c>
      <c r="K97" s="3">
        <v>0</v>
      </c>
      <c r="L97" s="3">
        <v>0</v>
      </c>
      <c r="N97" s="5">
        <v>5.7999999999999996E-3</v>
      </c>
      <c r="O97" s="2">
        <v>84489</v>
      </c>
      <c r="P97" s="2" t="s">
        <v>109</v>
      </c>
      <c r="Q97" s="2">
        <v>0</v>
      </c>
      <c r="R97" s="2">
        <v>0</v>
      </c>
      <c r="S97" s="2">
        <v>0</v>
      </c>
      <c r="T97" s="2">
        <v>0</v>
      </c>
      <c r="U97" s="1">
        <v>137</v>
      </c>
      <c r="V97" s="1" t="s">
        <v>296</v>
      </c>
      <c r="W97" s="1" t="s">
        <v>109</v>
      </c>
      <c r="X97" s="1" t="s">
        <v>199</v>
      </c>
      <c r="Y97" s="1" t="s">
        <v>200</v>
      </c>
      <c r="Z97" s="1">
        <v>38137</v>
      </c>
    </row>
    <row r="98" spans="1:26" x14ac:dyDescent="0.75">
      <c r="A98" s="3">
        <v>122302</v>
      </c>
      <c r="B98" s="3" t="s">
        <v>110</v>
      </c>
      <c r="C98" s="4">
        <v>44630</v>
      </c>
      <c r="D98" s="3">
        <v>654916</v>
      </c>
      <c r="E98" s="6">
        <f t="shared" si="2"/>
        <v>2.9878917833842786</v>
      </c>
      <c r="F98" s="3">
        <v>16374</v>
      </c>
      <c r="G98" s="6">
        <f t="shared" si="3"/>
        <v>7.4702313061727268E-2</v>
      </c>
      <c r="H98" s="3">
        <v>0</v>
      </c>
      <c r="I98" s="3">
        <v>638542</v>
      </c>
      <c r="J98" s="3">
        <v>580</v>
      </c>
      <c r="K98" s="3">
        <v>13</v>
      </c>
      <c r="L98" s="3">
        <v>0</v>
      </c>
      <c r="N98" s="5">
        <v>2.5000000000000001E-2</v>
      </c>
      <c r="O98" s="2">
        <v>136862</v>
      </c>
      <c r="P98" s="2" t="s">
        <v>110</v>
      </c>
      <c r="Q98" s="2">
        <v>78.069999999999993</v>
      </c>
      <c r="R98" s="2">
        <v>78.069999999999993</v>
      </c>
      <c r="S98" s="2">
        <v>26.63</v>
      </c>
      <c r="T98" s="2">
        <v>21.93</v>
      </c>
      <c r="U98" s="1">
        <v>138</v>
      </c>
      <c r="V98" s="1" t="s">
        <v>297</v>
      </c>
      <c r="W98" s="1" t="s">
        <v>110</v>
      </c>
      <c r="X98" s="1" t="s">
        <v>199</v>
      </c>
      <c r="Y98" s="1" t="s">
        <v>200</v>
      </c>
      <c r="Z98" s="1">
        <v>21919000</v>
      </c>
    </row>
    <row r="99" spans="1:26" x14ac:dyDescent="0.75">
      <c r="A99" s="3">
        <v>72446</v>
      </c>
      <c r="B99" s="3" t="s">
        <v>111</v>
      </c>
      <c r="C99" s="4">
        <v>44630</v>
      </c>
      <c r="D99" s="3">
        <v>32716</v>
      </c>
      <c r="E99" s="6">
        <f t="shared" si="2"/>
        <v>1.5271779417174078</v>
      </c>
      <c r="F99" s="3">
        <v>697</v>
      </c>
      <c r="G99" s="6">
        <f t="shared" si="3"/>
        <v>3.2535854792059941E-2</v>
      </c>
      <c r="H99" s="3">
        <v>0</v>
      </c>
      <c r="I99" s="3">
        <v>32019</v>
      </c>
      <c r="J99" s="3">
        <v>0</v>
      </c>
      <c r="K99" s="3">
        <v>0</v>
      </c>
      <c r="L99" s="3">
        <v>0</v>
      </c>
      <c r="N99" s="5">
        <v>2.1299999999999999E-2</v>
      </c>
      <c r="O99" s="2">
        <v>82390</v>
      </c>
      <c r="P99" s="2" t="s">
        <v>111</v>
      </c>
      <c r="Q99" s="2">
        <v>0</v>
      </c>
      <c r="R99" s="2">
        <v>0</v>
      </c>
      <c r="S99" s="2">
        <v>0</v>
      </c>
      <c r="T99" s="2">
        <v>0</v>
      </c>
      <c r="U99" s="1">
        <v>141</v>
      </c>
      <c r="V99" s="1" t="s">
        <v>298</v>
      </c>
      <c r="W99" s="1" t="s">
        <v>111</v>
      </c>
      <c r="X99" s="1" t="s">
        <v>199</v>
      </c>
      <c r="Y99" s="1" t="s">
        <v>200</v>
      </c>
      <c r="Z99" s="1">
        <v>2142252</v>
      </c>
    </row>
    <row r="100" spans="1:26" x14ac:dyDescent="0.75">
      <c r="A100" s="3">
        <v>75562</v>
      </c>
      <c r="B100" s="3" t="s">
        <v>112</v>
      </c>
      <c r="C100" s="4">
        <v>44630</v>
      </c>
      <c r="D100" s="3">
        <v>950602</v>
      </c>
      <c r="E100" s="6">
        <f t="shared" si="2"/>
        <v>34.014455934447348</v>
      </c>
      <c r="F100" s="3">
        <v>8599</v>
      </c>
      <c r="G100" s="6">
        <f t="shared" si="3"/>
        <v>0.30768955522954167</v>
      </c>
      <c r="H100" s="3">
        <v>0</v>
      </c>
      <c r="I100" s="3">
        <v>942003</v>
      </c>
      <c r="J100" s="3">
        <v>5634</v>
      </c>
      <c r="K100" s="3">
        <v>37</v>
      </c>
      <c r="L100" s="3">
        <v>0</v>
      </c>
      <c r="N100" s="5">
        <v>8.9999999999999993E-3</v>
      </c>
      <c r="O100" s="2">
        <v>85197</v>
      </c>
      <c r="P100" s="2" t="s">
        <v>112</v>
      </c>
      <c r="Q100" s="2">
        <v>72.260000000000005</v>
      </c>
      <c r="R100" s="2">
        <v>72.260000000000005</v>
      </c>
      <c r="S100" s="2">
        <v>33.28</v>
      </c>
      <c r="T100" s="2">
        <v>27.74</v>
      </c>
      <c r="U100" s="1">
        <v>143</v>
      </c>
      <c r="V100" s="1" t="s">
        <v>299</v>
      </c>
      <c r="W100" s="1" t="s">
        <v>112</v>
      </c>
      <c r="X100" s="1" t="s">
        <v>199</v>
      </c>
      <c r="Y100" s="1" t="s">
        <v>200</v>
      </c>
      <c r="Z100" s="1">
        <v>2794700</v>
      </c>
    </row>
    <row r="101" spans="1:26" x14ac:dyDescent="0.75">
      <c r="A101" s="3">
        <v>76341</v>
      </c>
      <c r="B101" s="3" t="s">
        <v>113</v>
      </c>
      <c r="C101" s="4">
        <v>44630</v>
      </c>
      <c r="D101" s="3">
        <v>191006</v>
      </c>
      <c r="E101" s="6">
        <f t="shared" si="2"/>
        <v>30.209323474753862</v>
      </c>
      <c r="F101" s="3">
        <v>1004</v>
      </c>
      <c r="G101" s="6">
        <f t="shared" si="3"/>
        <v>0.15879166501917677</v>
      </c>
      <c r="H101" s="3">
        <v>0</v>
      </c>
      <c r="I101" s="3">
        <v>190002</v>
      </c>
      <c r="J101" s="3">
        <v>1176</v>
      </c>
      <c r="K101" s="3">
        <v>4</v>
      </c>
      <c r="L101" s="3">
        <v>0</v>
      </c>
      <c r="N101" s="5">
        <v>5.3E-3</v>
      </c>
      <c r="O101" s="2">
        <v>87370</v>
      </c>
      <c r="P101" s="2" t="s">
        <v>113</v>
      </c>
      <c r="Q101" s="2">
        <v>0</v>
      </c>
      <c r="R101" s="2">
        <v>0</v>
      </c>
      <c r="S101" s="2">
        <v>0</v>
      </c>
      <c r="T101" s="2">
        <v>0</v>
      </c>
      <c r="U101" s="1">
        <v>144</v>
      </c>
      <c r="V101" s="1" t="s">
        <v>300</v>
      </c>
      <c r="W101" s="1" t="s">
        <v>113</v>
      </c>
      <c r="X101" s="1" t="s">
        <v>199</v>
      </c>
      <c r="Y101" s="1" t="s">
        <v>200</v>
      </c>
      <c r="Z101" s="1">
        <v>632275</v>
      </c>
    </row>
    <row r="102" spans="1:26" x14ac:dyDescent="0.75">
      <c r="A102" s="3">
        <v>70888</v>
      </c>
      <c r="B102" s="3" t="s">
        <v>114</v>
      </c>
      <c r="C102" s="4">
        <v>44630</v>
      </c>
      <c r="D102" s="3">
        <v>726868</v>
      </c>
      <c r="E102" s="6">
        <f t="shared" si="2"/>
        <v>38.225067155812006</v>
      </c>
      <c r="F102" s="3">
        <v>5397</v>
      </c>
      <c r="G102" s="6">
        <f t="shared" si="3"/>
        <v>0.28382139183444227</v>
      </c>
      <c r="H102" s="3">
        <v>0</v>
      </c>
      <c r="I102" s="3">
        <v>721471</v>
      </c>
      <c r="J102" s="3">
        <v>7055</v>
      </c>
      <c r="K102" s="3">
        <v>13</v>
      </c>
      <c r="L102" s="3">
        <v>0</v>
      </c>
      <c r="N102" s="5">
        <v>7.4000000000000003E-3</v>
      </c>
      <c r="O102" s="2">
        <v>81040</v>
      </c>
      <c r="P102" s="2" t="s">
        <v>114</v>
      </c>
      <c r="Q102" s="2">
        <v>0</v>
      </c>
      <c r="R102" s="2">
        <v>0</v>
      </c>
      <c r="S102" s="2">
        <v>0</v>
      </c>
      <c r="T102" s="2">
        <v>0</v>
      </c>
      <c r="U102" s="1">
        <v>145</v>
      </c>
      <c r="V102" s="1" t="s">
        <v>301</v>
      </c>
      <c r="W102" s="1" t="s">
        <v>114</v>
      </c>
      <c r="X102" s="1" t="s">
        <v>199</v>
      </c>
      <c r="Y102" s="1" t="s">
        <v>200</v>
      </c>
      <c r="Z102" s="1">
        <v>1901548</v>
      </c>
    </row>
    <row r="103" spans="1:26" x14ac:dyDescent="0.75">
      <c r="A103" s="3">
        <v>88026</v>
      </c>
      <c r="B103" s="3" t="s">
        <v>115</v>
      </c>
      <c r="C103" s="4">
        <v>44630</v>
      </c>
      <c r="D103" s="3">
        <v>1161925</v>
      </c>
      <c r="E103" s="6">
        <f t="shared" si="2"/>
        <v>178.93883346526175</v>
      </c>
      <c r="F103" s="3">
        <v>16033</v>
      </c>
      <c r="G103" s="6">
        <f t="shared" si="3"/>
        <v>2.4691148886103162</v>
      </c>
      <c r="H103" s="3">
        <v>0</v>
      </c>
      <c r="I103" s="3">
        <v>1145892</v>
      </c>
      <c r="J103" s="3">
        <v>77</v>
      </c>
      <c r="K103" s="3">
        <v>4</v>
      </c>
      <c r="L103" s="3">
        <v>0</v>
      </c>
      <c r="N103" s="5">
        <v>1.38E-2</v>
      </c>
      <c r="O103" s="2">
        <v>88116</v>
      </c>
      <c r="P103" s="2" t="s">
        <v>116</v>
      </c>
      <c r="Q103" s="2">
        <v>0</v>
      </c>
      <c r="R103" s="2">
        <v>0</v>
      </c>
      <c r="S103" s="2">
        <v>0</v>
      </c>
      <c r="T103" s="2">
        <v>0</v>
      </c>
      <c r="U103" s="1">
        <v>146</v>
      </c>
      <c r="V103" s="1" t="s">
        <v>302</v>
      </c>
      <c r="W103" s="1" t="s">
        <v>116</v>
      </c>
      <c r="X103" s="1" t="s">
        <v>199</v>
      </c>
      <c r="Y103" s="1" t="s">
        <v>200</v>
      </c>
      <c r="Z103" s="1">
        <v>649342</v>
      </c>
    </row>
    <row r="104" spans="1:26" x14ac:dyDescent="0.75">
      <c r="A104" s="3">
        <v>85689</v>
      </c>
      <c r="B104" s="3" t="s">
        <v>117</v>
      </c>
      <c r="C104" s="4">
        <v>44630</v>
      </c>
      <c r="D104" s="3">
        <v>9654</v>
      </c>
      <c r="E104" s="6">
        <f t="shared" si="2"/>
        <v>24.599938844154519</v>
      </c>
      <c r="F104" s="3">
        <v>51</v>
      </c>
      <c r="G104" s="6">
        <f t="shared" si="3"/>
        <v>0.12995617164407297</v>
      </c>
      <c r="H104" s="3">
        <v>0</v>
      </c>
      <c r="I104" s="3">
        <v>9603</v>
      </c>
      <c r="J104" s="3">
        <v>0</v>
      </c>
      <c r="K104" s="3">
        <v>0</v>
      </c>
      <c r="L104" s="3">
        <v>0</v>
      </c>
      <c r="N104" s="5">
        <v>5.3E-3</v>
      </c>
      <c r="O104" s="2">
        <v>96719</v>
      </c>
      <c r="P104" s="2" t="s">
        <v>117</v>
      </c>
      <c r="Q104" s="2">
        <v>0</v>
      </c>
      <c r="R104" s="2">
        <v>0</v>
      </c>
      <c r="S104" s="2">
        <v>0</v>
      </c>
      <c r="T104" s="2">
        <v>0</v>
      </c>
      <c r="U104" s="1">
        <v>149</v>
      </c>
      <c r="V104" s="1" t="s">
        <v>303</v>
      </c>
      <c r="W104" s="1" t="s">
        <v>117</v>
      </c>
      <c r="X104" s="1" t="s">
        <v>199</v>
      </c>
      <c r="Y104" s="1" t="s">
        <v>200</v>
      </c>
      <c r="Z104" s="1">
        <v>39244</v>
      </c>
    </row>
    <row r="105" spans="1:26" x14ac:dyDescent="0.75">
      <c r="A105" s="3">
        <v>84910</v>
      </c>
      <c r="B105" s="3" t="s">
        <v>118</v>
      </c>
      <c r="C105" s="4">
        <v>44630</v>
      </c>
      <c r="D105" s="3">
        <v>506681</v>
      </c>
      <c r="E105" s="6">
        <f t="shared" si="2"/>
        <v>19.35507406926374</v>
      </c>
      <c r="F105" s="3">
        <v>11319</v>
      </c>
      <c r="G105" s="6">
        <f t="shared" si="3"/>
        <v>0.43238266954947246</v>
      </c>
      <c r="H105" s="3">
        <v>0</v>
      </c>
      <c r="I105" s="3">
        <v>495362</v>
      </c>
      <c r="J105" s="3">
        <v>459</v>
      </c>
      <c r="K105" s="3">
        <v>15</v>
      </c>
      <c r="L105" s="3">
        <v>0</v>
      </c>
      <c r="N105" s="5">
        <v>2.23E-2</v>
      </c>
      <c r="O105" s="2">
        <v>96011</v>
      </c>
      <c r="P105" s="2" t="s">
        <v>118</v>
      </c>
      <c r="Q105" s="2">
        <v>0</v>
      </c>
      <c r="R105" s="2">
        <v>0</v>
      </c>
      <c r="S105" s="2">
        <v>0</v>
      </c>
      <c r="T105" s="2">
        <v>0</v>
      </c>
      <c r="U105" s="1">
        <v>150</v>
      </c>
      <c r="V105" s="1" t="s">
        <v>304</v>
      </c>
      <c r="W105" s="1" t="s">
        <v>118</v>
      </c>
      <c r="X105" s="1" t="s">
        <v>199</v>
      </c>
      <c r="Y105" s="1" t="s">
        <v>200</v>
      </c>
      <c r="Z105" s="1">
        <v>2617820</v>
      </c>
    </row>
    <row r="106" spans="1:26" x14ac:dyDescent="0.75">
      <c r="A106" s="3">
        <v>77120</v>
      </c>
      <c r="B106" s="3" t="s">
        <v>119</v>
      </c>
      <c r="C106" s="4">
        <v>44630</v>
      </c>
      <c r="D106" s="3">
        <v>63791</v>
      </c>
      <c r="E106" s="6">
        <f t="shared" si="2"/>
        <v>0.23036710927828258</v>
      </c>
      <c r="F106" s="3">
        <v>1373</v>
      </c>
      <c r="G106" s="6">
        <f t="shared" si="3"/>
        <v>4.9582862949174968E-3</v>
      </c>
      <c r="H106" s="3">
        <v>0</v>
      </c>
      <c r="I106" s="3">
        <v>62418</v>
      </c>
      <c r="J106" s="3">
        <v>0</v>
      </c>
      <c r="K106" s="3">
        <v>0</v>
      </c>
      <c r="L106" s="3">
        <v>0</v>
      </c>
      <c r="N106" s="5">
        <v>2.1499999999999998E-2</v>
      </c>
      <c r="O106" s="2">
        <v>88804</v>
      </c>
      <c r="P106" s="2" t="s">
        <v>119</v>
      </c>
      <c r="Q106" s="2">
        <v>0</v>
      </c>
      <c r="R106" s="2">
        <v>0</v>
      </c>
      <c r="S106" s="2">
        <v>0</v>
      </c>
      <c r="T106" s="2">
        <v>0</v>
      </c>
      <c r="U106" s="1">
        <v>151</v>
      </c>
      <c r="V106" s="1" t="s">
        <v>305</v>
      </c>
      <c r="W106" s="1" t="s">
        <v>119</v>
      </c>
      <c r="X106" s="1" t="s">
        <v>199</v>
      </c>
      <c r="Y106" s="1" t="s">
        <v>200</v>
      </c>
      <c r="Z106" s="1">
        <v>27691019</v>
      </c>
    </row>
    <row r="107" spans="1:26" x14ac:dyDescent="0.75">
      <c r="A107" s="3">
        <v>79457</v>
      </c>
      <c r="B107" s="3" t="s">
        <v>120</v>
      </c>
      <c r="C107" s="4">
        <v>44630</v>
      </c>
      <c r="D107" s="3">
        <v>173991</v>
      </c>
      <c r="E107" s="6">
        <f t="shared" si="2"/>
        <v>32.188248091730152</v>
      </c>
      <c r="F107" s="3">
        <v>297</v>
      </c>
      <c r="G107" s="6">
        <f t="shared" si="3"/>
        <v>5.4944851648900547E-2</v>
      </c>
      <c r="H107" s="3">
        <v>0</v>
      </c>
      <c r="I107" s="3">
        <v>173694</v>
      </c>
      <c r="J107" s="3">
        <v>325</v>
      </c>
      <c r="K107" s="3">
        <v>0</v>
      </c>
      <c r="L107" s="3">
        <v>0</v>
      </c>
      <c r="N107" s="5">
        <v>1.6999999999999999E-3</v>
      </c>
      <c r="O107" s="2">
        <v>90927</v>
      </c>
      <c r="P107" s="2" t="s">
        <v>120</v>
      </c>
      <c r="Q107" s="2">
        <v>0</v>
      </c>
      <c r="R107" s="2">
        <v>0</v>
      </c>
      <c r="S107" s="2">
        <v>0</v>
      </c>
      <c r="T107" s="2">
        <v>0</v>
      </c>
      <c r="U107" s="1">
        <v>152</v>
      </c>
      <c r="V107" s="1" t="s">
        <v>306</v>
      </c>
      <c r="W107" s="1" t="s">
        <v>120</v>
      </c>
      <c r="X107" s="1" t="s">
        <v>199</v>
      </c>
      <c r="Y107" s="1" t="s">
        <v>200</v>
      </c>
      <c r="Z107" s="1">
        <v>540542</v>
      </c>
    </row>
    <row r="108" spans="1:26" x14ac:dyDescent="0.75">
      <c r="A108" s="3">
        <v>81794</v>
      </c>
      <c r="B108" s="3" t="s">
        <v>121</v>
      </c>
      <c r="C108" s="4">
        <v>44630</v>
      </c>
      <c r="D108" s="3">
        <v>7</v>
      </c>
      <c r="E108" s="6">
        <f t="shared" si="2"/>
        <v>1.1825522857046323E-2</v>
      </c>
      <c r="F108" s="3">
        <v>0</v>
      </c>
      <c r="G108" s="6">
        <f t="shared" si="3"/>
        <v>0</v>
      </c>
      <c r="H108" s="3">
        <v>0</v>
      </c>
      <c r="I108" s="3">
        <v>7</v>
      </c>
      <c r="J108" s="3">
        <v>0</v>
      </c>
      <c r="K108" s="3">
        <v>0</v>
      </c>
      <c r="L108" s="3">
        <v>0</v>
      </c>
      <c r="N108" s="5">
        <v>0</v>
      </c>
      <c r="O108" s="2">
        <v>92779</v>
      </c>
      <c r="P108" s="2" t="s">
        <v>121</v>
      </c>
      <c r="Q108" s="2">
        <v>0</v>
      </c>
      <c r="R108" s="2">
        <v>0</v>
      </c>
      <c r="S108" s="2">
        <v>0</v>
      </c>
      <c r="T108" s="2">
        <v>0</v>
      </c>
      <c r="U108" s="1">
        <v>155</v>
      </c>
      <c r="V108" s="1" t="s">
        <v>307</v>
      </c>
      <c r="W108" s="1" t="s">
        <v>121</v>
      </c>
      <c r="X108" s="1" t="s">
        <v>199</v>
      </c>
      <c r="Y108" s="1" t="s">
        <v>200</v>
      </c>
      <c r="Z108" s="1">
        <v>59194</v>
      </c>
    </row>
    <row r="109" spans="1:26" x14ac:dyDescent="0.75">
      <c r="A109" s="3">
        <v>95037</v>
      </c>
      <c r="B109" s="3" t="s">
        <v>122</v>
      </c>
      <c r="C109" s="4">
        <v>44630</v>
      </c>
      <c r="D109" s="3">
        <v>300714</v>
      </c>
      <c r="E109" s="6">
        <f t="shared" si="2"/>
        <v>14.433948679549577</v>
      </c>
      <c r="F109" s="3">
        <v>9117</v>
      </c>
      <c r="G109" s="6">
        <f t="shared" si="3"/>
        <v>0.43760619762117325</v>
      </c>
      <c r="H109" s="3">
        <v>0</v>
      </c>
      <c r="I109" s="3">
        <v>291597</v>
      </c>
      <c r="J109" s="3">
        <v>316</v>
      </c>
      <c r="K109" s="3">
        <v>13</v>
      </c>
      <c r="L109" s="3">
        <v>0</v>
      </c>
      <c r="N109" s="5">
        <v>3.0300000000000001E-2</v>
      </c>
      <c r="O109" s="2">
        <v>108312</v>
      </c>
      <c r="P109" s="2" t="s">
        <v>122</v>
      </c>
      <c r="Q109" s="2">
        <v>0</v>
      </c>
      <c r="R109" s="2">
        <v>0</v>
      </c>
      <c r="S109" s="2">
        <v>0</v>
      </c>
      <c r="T109" s="2">
        <v>0</v>
      </c>
      <c r="U109" s="1">
        <v>157</v>
      </c>
      <c r="V109" s="1" t="s">
        <v>308</v>
      </c>
      <c r="W109" s="1" t="s">
        <v>122</v>
      </c>
      <c r="X109" s="1" t="s">
        <v>199</v>
      </c>
      <c r="Y109" s="1" t="s">
        <v>200</v>
      </c>
      <c r="Z109" s="1">
        <v>2083380</v>
      </c>
    </row>
    <row r="110" spans="1:26" x14ac:dyDescent="0.75">
      <c r="A110" s="3">
        <v>80236</v>
      </c>
      <c r="B110" s="3" t="s">
        <v>123</v>
      </c>
      <c r="C110" s="4">
        <v>44630</v>
      </c>
      <c r="D110" s="3">
        <v>30407</v>
      </c>
      <c r="E110" s="6">
        <f t="shared" si="2"/>
        <v>0.15015184065999454</v>
      </c>
      <c r="F110" s="3">
        <v>726</v>
      </c>
      <c r="G110" s="6">
        <f t="shared" si="3"/>
        <v>3.5850375347504207E-3</v>
      </c>
      <c r="H110" s="3">
        <v>0</v>
      </c>
      <c r="I110" s="3">
        <v>29681</v>
      </c>
      <c r="J110" s="3">
        <v>5</v>
      </c>
      <c r="K110" s="3">
        <v>1</v>
      </c>
      <c r="L110" s="3">
        <v>0</v>
      </c>
      <c r="N110" s="5">
        <v>2.3900000000000001E-2</v>
      </c>
      <c r="O110" s="2">
        <v>91610</v>
      </c>
      <c r="P110" s="2" t="s">
        <v>123</v>
      </c>
      <c r="Q110" s="2">
        <v>0</v>
      </c>
      <c r="R110" s="2">
        <v>0</v>
      </c>
      <c r="S110" s="2">
        <v>0</v>
      </c>
      <c r="T110" s="2">
        <v>0</v>
      </c>
      <c r="U110" s="1">
        <v>158</v>
      </c>
      <c r="V110" s="1" t="s">
        <v>309</v>
      </c>
      <c r="W110" s="1" t="s">
        <v>123</v>
      </c>
      <c r="X110" s="1" t="s">
        <v>199</v>
      </c>
      <c r="Y110" s="1" t="s">
        <v>200</v>
      </c>
      <c r="Z110" s="1">
        <v>20250834</v>
      </c>
    </row>
    <row r="111" spans="1:26" x14ac:dyDescent="0.75">
      <c r="A111" s="3">
        <v>81015</v>
      </c>
      <c r="B111" s="3" t="s">
        <v>124</v>
      </c>
      <c r="C111" s="4">
        <v>44630</v>
      </c>
      <c r="D111" s="3">
        <v>72421</v>
      </c>
      <c r="E111" s="6">
        <f t="shared" si="2"/>
        <v>13.786991823486296</v>
      </c>
      <c r="F111" s="3">
        <v>613</v>
      </c>
      <c r="G111" s="6">
        <f t="shared" si="3"/>
        <v>0.11669855411824057</v>
      </c>
      <c r="H111" s="3">
        <v>0</v>
      </c>
      <c r="I111" s="3">
        <v>71808</v>
      </c>
      <c r="J111" s="3">
        <v>153</v>
      </c>
      <c r="K111" s="3">
        <v>1</v>
      </c>
      <c r="L111" s="3">
        <v>0</v>
      </c>
      <c r="N111" s="5">
        <v>8.5000000000000006E-3</v>
      </c>
      <c r="O111" s="2">
        <v>92313</v>
      </c>
      <c r="P111" s="2" t="s">
        <v>124</v>
      </c>
      <c r="Q111" s="2">
        <v>90.23</v>
      </c>
      <c r="R111" s="2">
        <v>90.23</v>
      </c>
      <c r="S111" s="2">
        <v>64.739999999999995</v>
      </c>
      <c r="T111" s="2">
        <v>9.77</v>
      </c>
      <c r="U111" s="1">
        <v>159</v>
      </c>
      <c r="V111" s="1" t="s">
        <v>310</v>
      </c>
      <c r="W111" s="1" t="s">
        <v>124</v>
      </c>
      <c r="X111" s="1" t="s">
        <v>199</v>
      </c>
      <c r="Y111" s="1" t="s">
        <v>200</v>
      </c>
      <c r="Z111" s="1">
        <v>525285</v>
      </c>
    </row>
    <row r="112" spans="1:26" x14ac:dyDescent="0.75">
      <c r="A112" s="3">
        <v>87247</v>
      </c>
      <c r="B112" s="3" t="s">
        <v>125</v>
      </c>
      <c r="C112" s="4">
        <v>44630</v>
      </c>
      <c r="D112" s="3">
        <v>231313</v>
      </c>
      <c r="E112" s="6">
        <f t="shared" si="2"/>
        <v>37.205453276244214</v>
      </c>
      <c r="F112" s="3">
        <v>2692</v>
      </c>
      <c r="G112" s="6">
        <f t="shared" si="3"/>
        <v>0.43299373671021263</v>
      </c>
      <c r="H112" s="3">
        <v>0</v>
      </c>
      <c r="I112" s="3">
        <v>228621</v>
      </c>
      <c r="J112" s="3">
        <v>86</v>
      </c>
      <c r="K112" s="3">
        <v>2</v>
      </c>
      <c r="L112" s="3">
        <v>0</v>
      </c>
      <c r="N112" s="5">
        <v>1.1599999999999999E-2</v>
      </c>
      <c r="O112" s="2">
        <v>98108</v>
      </c>
      <c r="P112" s="2" t="s">
        <v>125</v>
      </c>
      <c r="Q112" s="2">
        <v>45.76</v>
      </c>
      <c r="R112" s="2">
        <v>45.76</v>
      </c>
      <c r="S112" s="2">
        <v>14.46</v>
      </c>
      <c r="T112" s="2">
        <v>54.24</v>
      </c>
      <c r="U112" s="1">
        <v>162</v>
      </c>
      <c r="V112" s="1" t="s">
        <v>311</v>
      </c>
      <c r="W112" s="1" t="s">
        <v>125</v>
      </c>
      <c r="X112" s="1" t="s">
        <v>199</v>
      </c>
      <c r="Y112" s="1" t="s">
        <v>200</v>
      </c>
      <c r="Z112" s="1">
        <v>621718</v>
      </c>
    </row>
    <row r="113" spans="1:26" x14ac:dyDescent="0.75">
      <c r="A113" s="3">
        <v>86468</v>
      </c>
      <c r="B113" s="3" t="s">
        <v>126</v>
      </c>
      <c r="C113" s="4">
        <v>44630</v>
      </c>
      <c r="D113" s="3">
        <v>914536</v>
      </c>
      <c r="E113" s="6">
        <f t="shared" si="2"/>
        <v>27.896721829538063</v>
      </c>
      <c r="F113" s="3">
        <v>2177</v>
      </c>
      <c r="G113" s="6">
        <f t="shared" si="3"/>
        <v>6.6406531205884037E-2</v>
      </c>
      <c r="H113" s="3">
        <v>0</v>
      </c>
      <c r="I113" s="3">
        <v>912359</v>
      </c>
      <c r="J113" s="3">
        <v>520</v>
      </c>
      <c r="K113" s="3">
        <v>0</v>
      </c>
      <c r="L113" s="3">
        <v>0</v>
      </c>
      <c r="N113" s="5">
        <v>2.3999999999999998E-3</v>
      </c>
      <c r="O113" s="2">
        <v>97417</v>
      </c>
      <c r="P113" s="2" t="s">
        <v>126</v>
      </c>
      <c r="Q113" s="2">
        <v>0</v>
      </c>
      <c r="R113" s="2">
        <v>0</v>
      </c>
      <c r="S113" s="2">
        <v>0</v>
      </c>
      <c r="T113" s="2">
        <v>0</v>
      </c>
      <c r="U113" s="1">
        <v>163</v>
      </c>
      <c r="V113" s="1" t="s">
        <v>312</v>
      </c>
      <c r="W113" s="1" t="s">
        <v>126</v>
      </c>
      <c r="X113" s="1" t="s">
        <v>199</v>
      </c>
      <c r="Y113" s="1" t="s">
        <v>200</v>
      </c>
      <c r="Z113" s="1">
        <v>3278292</v>
      </c>
    </row>
    <row r="114" spans="1:26" x14ac:dyDescent="0.75">
      <c r="A114" s="3">
        <v>88805</v>
      </c>
      <c r="B114" s="3" t="s">
        <v>127</v>
      </c>
      <c r="C114" s="4">
        <v>44630</v>
      </c>
      <c r="D114" s="3">
        <v>225162</v>
      </c>
      <c r="E114" s="6">
        <f t="shared" si="2"/>
        <v>0.72039310923044264</v>
      </c>
      <c r="F114" s="3">
        <v>2198</v>
      </c>
      <c r="G114" s="6">
        <f t="shared" si="3"/>
        <v>7.0323769290045078E-3</v>
      </c>
      <c r="H114" s="3">
        <v>0</v>
      </c>
      <c r="I114" s="3">
        <v>222964</v>
      </c>
      <c r="J114" s="3">
        <v>3</v>
      </c>
      <c r="K114" s="3">
        <v>0</v>
      </c>
      <c r="L114" s="3">
        <v>0</v>
      </c>
      <c r="N114" s="5">
        <v>9.7999999999999997E-3</v>
      </c>
      <c r="O114" s="2">
        <v>100214</v>
      </c>
      <c r="P114" s="2" t="s">
        <v>127</v>
      </c>
      <c r="Q114" s="2">
        <v>0</v>
      </c>
      <c r="R114" s="2">
        <v>0</v>
      </c>
      <c r="S114" s="2">
        <v>0</v>
      </c>
      <c r="T114" s="2">
        <v>0</v>
      </c>
      <c r="U114" s="1">
        <v>165</v>
      </c>
      <c r="V114" s="1" t="s">
        <v>313</v>
      </c>
      <c r="W114" s="1" t="s">
        <v>127</v>
      </c>
      <c r="X114" s="1" t="s">
        <v>199</v>
      </c>
      <c r="Y114" s="1" t="s">
        <v>200</v>
      </c>
      <c r="Z114" s="1">
        <v>31255435</v>
      </c>
    </row>
    <row r="115" spans="1:26" x14ac:dyDescent="0.75">
      <c r="A115" s="3">
        <v>82573</v>
      </c>
      <c r="B115" s="3" t="s">
        <v>128</v>
      </c>
      <c r="C115" s="4">
        <v>44630</v>
      </c>
      <c r="D115" s="3">
        <v>58657</v>
      </c>
      <c r="E115" s="6">
        <f t="shared" si="2"/>
        <v>1.2615331013450446</v>
      </c>
      <c r="F115" s="3">
        <v>981</v>
      </c>
      <c r="G115" s="6">
        <f t="shared" si="3"/>
        <v>2.1098316866179464E-2</v>
      </c>
      <c r="H115" s="3">
        <v>0</v>
      </c>
      <c r="I115" s="3">
        <v>57676</v>
      </c>
      <c r="J115" s="3">
        <v>1</v>
      </c>
      <c r="K115" s="3">
        <v>0</v>
      </c>
      <c r="L115" s="3">
        <v>0</v>
      </c>
      <c r="N115" s="5">
        <v>1.67E-2</v>
      </c>
      <c r="O115" s="2">
        <v>93473</v>
      </c>
      <c r="P115" s="2" t="s">
        <v>128</v>
      </c>
      <c r="Q115" s="2">
        <v>0</v>
      </c>
      <c r="R115" s="2">
        <v>0</v>
      </c>
      <c r="S115" s="2">
        <v>0</v>
      </c>
      <c r="T115" s="2">
        <v>0</v>
      </c>
      <c r="U115" s="1">
        <v>166</v>
      </c>
      <c r="V115" s="1" t="s">
        <v>314</v>
      </c>
      <c r="W115" s="1" t="s">
        <v>128</v>
      </c>
      <c r="X115" s="1" t="s">
        <v>199</v>
      </c>
      <c r="Y115" s="1" t="s">
        <v>200</v>
      </c>
      <c r="Z115" s="1">
        <v>4649660</v>
      </c>
    </row>
    <row r="116" spans="1:26" x14ac:dyDescent="0.75">
      <c r="A116" s="3">
        <v>83352</v>
      </c>
      <c r="B116" s="3" t="s">
        <v>129</v>
      </c>
      <c r="C116" s="4">
        <v>44630</v>
      </c>
      <c r="D116" s="3">
        <v>181362</v>
      </c>
      <c r="E116" s="6">
        <f t="shared" si="2"/>
        <v>14.328535086194638</v>
      </c>
      <c r="F116" s="3">
        <v>934</v>
      </c>
      <c r="G116" s="6">
        <f t="shared" si="3"/>
        <v>7.3790825920015166E-2</v>
      </c>
      <c r="H116" s="3">
        <v>0</v>
      </c>
      <c r="I116" s="3">
        <v>180428</v>
      </c>
      <c r="J116" s="3">
        <v>11566</v>
      </c>
      <c r="K116" s="3">
        <v>30</v>
      </c>
      <c r="L116" s="3">
        <v>0</v>
      </c>
      <c r="N116" s="5">
        <v>5.1000000000000004E-3</v>
      </c>
      <c r="O116" s="2">
        <v>94163</v>
      </c>
      <c r="P116" s="2" t="s">
        <v>129</v>
      </c>
      <c r="Q116" s="2">
        <v>0</v>
      </c>
      <c r="R116" s="2">
        <v>0</v>
      </c>
      <c r="S116" s="2">
        <v>0</v>
      </c>
      <c r="T116" s="2">
        <v>0</v>
      </c>
      <c r="U116" s="1">
        <v>167</v>
      </c>
      <c r="V116" s="1" t="s">
        <v>315</v>
      </c>
      <c r="W116" s="1" t="s">
        <v>129</v>
      </c>
      <c r="X116" s="1" t="s">
        <v>199</v>
      </c>
      <c r="Y116" s="1" t="s">
        <v>200</v>
      </c>
      <c r="Z116" s="1">
        <v>1265740</v>
      </c>
    </row>
    <row r="117" spans="1:26" x14ac:dyDescent="0.75">
      <c r="A117" s="3">
        <v>77899</v>
      </c>
      <c r="B117" s="3" t="s">
        <v>130</v>
      </c>
      <c r="C117" s="4">
        <v>44630</v>
      </c>
      <c r="D117" s="3">
        <v>85476</v>
      </c>
      <c r="E117" s="6">
        <f t="shared" si="2"/>
        <v>0.4468175696179108</v>
      </c>
      <c r="F117" s="3">
        <v>2620</v>
      </c>
      <c r="G117" s="6">
        <f t="shared" si="3"/>
        <v>1.3695798029843772E-2</v>
      </c>
      <c r="H117" s="3">
        <v>0</v>
      </c>
      <c r="I117" s="3">
        <v>82856</v>
      </c>
      <c r="J117" s="3">
        <v>15</v>
      </c>
      <c r="K117" s="3">
        <v>0</v>
      </c>
      <c r="L117" s="3">
        <v>0</v>
      </c>
      <c r="N117" s="5">
        <v>3.0700000000000002E-2</v>
      </c>
      <c r="O117" s="2">
        <v>89483</v>
      </c>
      <c r="P117" s="2" t="s">
        <v>130</v>
      </c>
      <c r="Q117" s="2">
        <v>0</v>
      </c>
      <c r="R117" s="2">
        <v>0</v>
      </c>
      <c r="S117" s="2">
        <v>0</v>
      </c>
      <c r="T117" s="2">
        <v>0</v>
      </c>
      <c r="U117" s="1">
        <v>168</v>
      </c>
      <c r="V117" s="1" t="s">
        <v>316</v>
      </c>
      <c r="W117" s="1" t="s">
        <v>130</v>
      </c>
      <c r="X117" s="1" t="s">
        <v>199</v>
      </c>
      <c r="Y117" s="1" t="s">
        <v>200</v>
      </c>
      <c r="Z117" s="1">
        <v>19129955</v>
      </c>
    </row>
    <row r="118" spans="1:26" x14ac:dyDescent="0.75">
      <c r="A118" s="3">
        <v>78678</v>
      </c>
      <c r="B118" s="3" t="s">
        <v>131</v>
      </c>
      <c r="C118" s="4">
        <v>44630</v>
      </c>
      <c r="D118" s="3">
        <v>3741986</v>
      </c>
      <c r="E118" s="6">
        <f t="shared" si="2"/>
        <v>11.561472629393354</v>
      </c>
      <c r="F118" s="3">
        <v>33567</v>
      </c>
      <c r="G118" s="6">
        <f t="shared" si="3"/>
        <v>0.10371069045978437</v>
      </c>
      <c r="H118" s="3">
        <v>0</v>
      </c>
      <c r="I118" s="3">
        <v>3708419</v>
      </c>
      <c r="J118" s="3">
        <v>30787</v>
      </c>
      <c r="K118" s="3">
        <v>70</v>
      </c>
      <c r="L118" s="3">
        <v>0</v>
      </c>
      <c r="N118" s="5">
        <v>8.9999999999999993E-3</v>
      </c>
      <c r="O118" s="2">
        <v>90227</v>
      </c>
      <c r="P118" s="2" t="s">
        <v>131</v>
      </c>
      <c r="Q118" s="2">
        <v>79.61</v>
      </c>
      <c r="R118" s="2">
        <v>79.61</v>
      </c>
      <c r="S118" s="2">
        <v>37.549999999999997</v>
      </c>
      <c r="T118" s="2">
        <v>20.39</v>
      </c>
      <c r="U118" s="1">
        <v>169</v>
      </c>
      <c r="V118" s="1" t="s">
        <v>317</v>
      </c>
      <c r="W118" s="1" t="s">
        <v>131</v>
      </c>
      <c r="X118" s="1" t="s">
        <v>199</v>
      </c>
      <c r="Y118" s="1" t="s">
        <v>200</v>
      </c>
      <c r="Z118" s="1">
        <v>32365998</v>
      </c>
    </row>
    <row r="119" spans="1:26" x14ac:dyDescent="0.75">
      <c r="A119" s="3">
        <v>89584</v>
      </c>
      <c r="B119" s="3" t="s">
        <v>132</v>
      </c>
      <c r="C119" s="4">
        <v>44630</v>
      </c>
      <c r="D119" s="3">
        <v>157366</v>
      </c>
      <c r="E119" s="6">
        <f t="shared" si="2"/>
        <v>6.1932783295472973</v>
      </c>
      <c r="F119" s="3">
        <v>4014</v>
      </c>
      <c r="G119" s="6">
        <f t="shared" si="3"/>
        <v>0.15797452572221987</v>
      </c>
      <c r="H119" s="3">
        <v>0</v>
      </c>
      <c r="I119" s="3">
        <v>153352</v>
      </c>
      <c r="J119" s="3">
        <v>0</v>
      </c>
      <c r="K119" s="3">
        <v>0</v>
      </c>
      <c r="L119" s="3">
        <v>0</v>
      </c>
      <c r="N119" s="5">
        <v>2.5499999999999998E-2</v>
      </c>
      <c r="O119" s="2">
        <v>101589</v>
      </c>
      <c r="P119" s="2" t="s">
        <v>132</v>
      </c>
      <c r="Q119" s="2">
        <v>0</v>
      </c>
      <c r="R119" s="2">
        <v>0</v>
      </c>
      <c r="S119" s="2">
        <v>0</v>
      </c>
      <c r="T119" s="2">
        <v>0</v>
      </c>
      <c r="U119" s="1">
        <v>171</v>
      </c>
      <c r="V119" s="1" t="s">
        <v>318</v>
      </c>
      <c r="W119" s="1" t="s">
        <v>132</v>
      </c>
      <c r="X119" s="1" t="s">
        <v>199</v>
      </c>
      <c r="Y119" s="1" t="s">
        <v>200</v>
      </c>
      <c r="Z119" s="1">
        <v>2540916</v>
      </c>
    </row>
    <row r="120" spans="1:26" x14ac:dyDescent="0.75">
      <c r="A120" s="3">
        <v>93479</v>
      </c>
      <c r="B120" s="3" t="s">
        <v>133</v>
      </c>
      <c r="C120" s="4">
        <v>44630</v>
      </c>
      <c r="D120" s="3">
        <v>8774</v>
      </c>
      <c r="E120" s="6">
        <f t="shared" si="2"/>
        <v>3.6246259083666146E-2</v>
      </c>
      <c r="F120" s="3">
        <v>307</v>
      </c>
      <c r="G120" s="6">
        <f t="shared" si="3"/>
        <v>1.2682472690546511E-3</v>
      </c>
      <c r="H120" s="3">
        <v>0</v>
      </c>
      <c r="I120" s="3">
        <v>8467</v>
      </c>
      <c r="J120" s="3">
        <v>0</v>
      </c>
      <c r="K120" s="3">
        <v>0</v>
      </c>
      <c r="L120" s="3">
        <v>0</v>
      </c>
      <c r="N120" s="5">
        <v>3.5000000000000003E-2</v>
      </c>
      <c r="O120" s="2">
        <v>106103</v>
      </c>
      <c r="P120" s="2" t="s">
        <v>133</v>
      </c>
      <c r="Q120" s="2">
        <v>0</v>
      </c>
      <c r="R120" s="2">
        <v>0</v>
      </c>
      <c r="S120" s="2">
        <v>0</v>
      </c>
      <c r="T120" s="2">
        <v>0</v>
      </c>
      <c r="U120" s="1">
        <v>173</v>
      </c>
      <c r="V120" s="1" t="s">
        <v>319</v>
      </c>
      <c r="W120" s="1" t="s">
        <v>133</v>
      </c>
      <c r="X120" s="1" t="s">
        <v>199</v>
      </c>
      <c r="Y120" s="1" t="s">
        <v>200</v>
      </c>
      <c r="Z120" s="1">
        <v>24206636</v>
      </c>
    </row>
    <row r="121" spans="1:26" x14ac:dyDescent="0.75">
      <c r="A121" s="3">
        <v>94258</v>
      </c>
      <c r="B121" s="3" t="s">
        <v>134</v>
      </c>
      <c r="C121" s="4">
        <v>44630</v>
      </c>
      <c r="D121" s="3">
        <v>254861</v>
      </c>
      <c r="E121" s="6">
        <f t="shared" si="2"/>
        <v>0.12363515601687899</v>
      </c>
      <c r="F121" s="3">
        <v>3142</v>
      </c>
      <c r="G121" s="6">
        <f t="shared" si="3"/>
        <v>1.5242099034573112E-3</v>
      </c>
      <c r="H121" s="3">
        <v>0</v>
      </c>
      <c r="I121" s="3">
        <v>251719</v>
      </c>
      <c r="J121" s="3">
        <v>84</v>
      </c>
      <c r="K121" s="3">
        <v>0</v>
      </c>
      <c r="L121" s="3">
        <v>0</v>
      </c>
      <c r="N121" s="5">
        <v>1.23E-2</v>
      </c>
      <c r="O121" s="2">
        <v>106812</v>
      </c>
      <c r="P121" s="2" t="s">
        <v>134</v>
      </c>
      <c r="Q121" s="2">
        <v>0</v>
      </c>
      <c r="R121" s="2">
        <v>0</v>
      </c>
      <c r="S121" s="2">
        <v>0</v>
      </c>
      <c r="T121" s="2">
        <v>0</v>
      </c>
      <c r="U121" s="1">
        <v>174</v>
      </c>
      <c r="V121" s="1" t="s">
        <v>320</v>
      </c>
      <c r="W121" s="1" t="s">
        <v>134</v>
      </c>
      <c r="X121" s="1" t="s">
        <v>199</v>
      </c>
      <c r="Y121" s="1" t="s">
        <v>200</v>
      </c>
      <c r="Z121" s="1">
        <v>206139587</v>
      </c>
    </row>
    <row r="122" spans="1:26" x14ac:dyDescent="0.75">
      <c r="A122" s="3">
        <v>92700</v>
      </c>
      <c r="B122" s="3" t="s">
        <v>135</v>
      </c>
      <c r="C122" s="4">
        <v>44630</v>
      </c>
      <c r="D122" s="3">
        <v>18203</v>
      </c>
      <c r="E122" s="6">
        <f t="shared" si="2"/>
        <v>0.27478076259926326</v>
      </c>
      <c r="F122" s="3">
        <v>226</v>
      </c>
      <c r="G122" s="6">
        <f t="shared" si="3"/>
        <v>3.4115504228662032E-3</v>
      </c>
      <c r="H122" s="3">
        <v>0</v>
      </c>
      <c r="I122" s="3">
        <v>17977</v>
      </c>
      <c r="J122" s="3">
        <v>0</v>
      </c>
      <c r="K122" s="3">
        <v>0</v>
      </c>
      <c r="L122" s="3">
        <v>0</v>
      </c>
      <c r="N122" s="5">
        <v>1.24E-2</v>
      </c>
      <c r="O122" s="2">
        <v>105415</v>
      </c>
      <c r="P122" s="2" t="s">
        <v>135</v>
      </c>
      <c r="Q122" s="2">
        <v>0</v>
      </c>
      <c r="R122" s="2">
        <v>0</v>
      </c>
      <c r="S122" s="2">
        <v>0</v>
      </c>
      <c r="T122" s="2">
        <v>0</v>
      </c>
      <c r="U122" s="1">
        <v>175</v>
      </c>
      <c r="V122" s="1" t="s">
        <v>321</v>
      </c>
      <c r="W122" s="1" t="s">
        <v>135</v>
      </c>
      <c r="X122" s="1" t="s">
        <v>199</v>
      </c>
      <c r="Y122" s="1" t="s">
        <v>200</v>
      </c>
      <c r="Z122" s="1">
        <v>6624554</v>
      </c>
    </row>
    <row r="123" spans="1:26" x14ac:dyDescent="0.75">
      <c r="A123" s="3">
        <v>91142</v>
      </c>
      <c r="B123" s="3" t="s">
        <v>136</v>
      </c>
      <c r="C123" s="4">
        <v>44630</v>
      </c>
      <c r="D123" s="3">
        <v>7160898</v>
      </c>
      <c r="E123" s="6">
        <f t="shared" si="2"/>
        <v>41.057513502988535</v>
      </c>
      <c r="F123" s="3">
        <v>22288</v>
      </c>
      <c r="G123" s="6">
        <f t="shared" si="3"/>
        <v>0.12778981923141602</v>
      </c>
      <c r="H123" s="3">
        <v>0</v>
      </c>
      <c r="I123" s="3">
        <v>7138610</v>
      </c>
      <c r="J123" s="3">
        <v>74518</v>
      </c>
      <c r="K123" s="3">
        <v>41</v>
      </c>
      <c r="L123" s="3">
        <v>0</v>
      </c>
      <c r="N123" s="5">
        <v>3.0999999999999999E-3</v>
      </c>
      <c r="O123" s="2">
        <v>103328</v>
      </c>
      <c r="P123" s="2" t="s">
        <v>136</v>
      </c>
      <c r="Q123" s="2">
        <v>78.16</v>
      </c>
      <c r="R123" s="2">
        <v>78.16</v>
      </c>
      <c r="S123" s="2">
        <v>50.21</v>
      </c>
      <c r="T123" s="2">
        <v>21.84</v>
      </c>
      <c r="U123" s="1">
        <v>176</v>
      </c>
      <c r="V123" s="1" t="s">
        <v>322</v>
      </c>
      <c r="W123" s="1" t="s">
        <v>136</v>
      </c>
      <c r="X123" s="1" t="s">
        <v>199</v>
      </c>
      <c r="Y123" s="1" t="s">
        <v>200</v>
      </c>
      <c r="Z123" s="1">
        <v>17441139</v>
      </c>
    </row>
    <row r="124" spans="1:26" x14ac:dyDescent="0.75">
      <c r="A124" s="3">
        <v>95816</v>
      </c>
      <c r="B124" s="3" t="s">
        <v>137</v>
      </c>
      <c r="C124" s="4">
        <v>44630</v>
      </c>
      <c r="D124" s="3">
        <v>1341163</v>
      </c>
      <c r="E124" s="6">
        <f t="shared" si="2"/>
        <v>24.931113166247638</v>
      </c>
      <c r="F124" s="3">
        <v>1753</v>
      </c>
      <c r="G124" s="6">
        <f t="shared" si="3"/>
        <v>3.258682306358892E-2</v>
      </c>
      <c r="H124" s="3">
        <v>0</v>
      </c>
      <c r="I124" s="3">
        <v>1339410</v>
      </c>
      <c r="J124" s="3">
        <v>7370</v>
      </c>
      <c r="K124" s="3">
        <v>0</v>
      </c>
      <c r="L124" s="3">
        <v>0</v>
      </c>
      <c r="N124" s="5">
        <v>1.2999999999999999E-3</v>
      </c>
      <c r="O124" s="2">
        <v>109341</v>
      </c>
      <c r="P124" s="2" t="s">
        <v>137</v>
      </c>
      <c r="Q124" s="2">
        <v>0</v>
      </c>
      <c r="R124" s="2">
        <v>0</v>
      </c>
      <c r="S124" s="2">
        <v>0</v>
      </c>
      <c r="T124" s="2">
        <v>0</v>
      </c>
      <c r="U124" s="1">
        <v>177</v>
      </c>
      <c r="V124" s="1" t="s">
        <v>323</v>
      </c>
      <c r="W124" s="1" t="s">
        <v>137</v>
      </c>
      <c r="X124" s="1" t="s">
        <v>199</v>
      </c>
      <c r="Y124" s="1" t="s">
        <v>200</v>
      </c>
      <c r="Z124" s="1">
        <v>5379475</v>
      </c>
    </row>
    <row r="125" spans="1:26" x14ac:dyDescent="0.75">
      <c r="A125" s="3">
        <v>90363</v>
      </c>
      <c r="B125" s="3" t="s">
        <v>138</v>
      </c>
      <c r="C125" s="4">
        <v>44630</v>
      </c>
      <c r="D125" s="3">
        <v>977786</v>
      </c>
      <c r="E125" s="6">
        <f t="shared" si="2"/>
        <v>3.355844607274757</v>
      </c>
      <c r="F125" s="3">
        <v>11949</v>
      </c>
      <c r="G125" s="6">
        <f t="shared" si="3"/>
        <v>4.100998297411302E-2</v>
      </c>
      <c r="H125" s="3">
        <v>0</v>
      </c>
      <c r="I125" s="3">
        <v>965837</v>
      </c>
      <c r="J125" s="3">
        <v>77</v>
      </c>
      <c r="K125" s="3">
        <v>0</v>
      </c>
      <c r="L125" s="3">
        <v>0</v>
      </c>
      <c r="N125" s="5">
        <v>1.2200000000000001E-2</v>
      </c>
      <c r="O125" s="2">
        <v>102618</v>
      </c>
      <c r="P125" s="2" t="s">
        <v>138</v>
      </c>
      <c r="Q125" s="2">
        <v>0</v>
      </c>
      <c r="R125" s="2">
        <v>0</v>
      </c>
      <c r="S125" s="2">
        <v>0</v>
      </c>
      <c r="T125" s="2">
        <v>0</v>
      </c>
      <c r="U125" s="1">
        <v>178</v>
      </c>
      <c r="V125" s="1" t="s">
        <v>324</v>
      </c>
      <c r="W125" s="1" t="s">
        <v>138</v>
      </c>
      <c r="X125" s="1" t="s">
        <v>199</v>
      </c>
      <c r="Y125" s="1" t="s">
        <v>200</v>
      </c>
      <c r="Z125" s="1">
        <v>29136808</v>
      </c>
    </row>
    <row r="126" spans="1:26" x14ac:dyDescent="0.75">
      <c r="A126" s="3">
        <v>91921</v>
      </c>
      <c r="B126" s="3" t="s">
        <v>139</v>
      </c>
      <c r="C126" s="4">
        <v>44630</v>
      </c>
      <c r="D126" s="3">
        <v>307805</v>
      </c>
      <c r="E126" s="6">
        <f t="shared" si="2"/>
        <v>6.0540290698817927</v>
      </c>
      <c r="F126" s="3">
        <v>81</v>
      </c>
      <c r="G126" s="6">
        <f t="shared" si="3"/>
        <v>1.5931396652439863E-3</v>
      </c>
      <c r="H126" s="3">
        <v>0</v>
      </c>
      <c r="I126" s="3">
        <v>307724</v>
      </c>
      <c r="J126" s="3">
        <v>21053</v>
      </c>
      <c r="K126" s="3">
        <v>16</v>
      </c>
      <c r="L126" s="3">
        <v>0</v>
      </c>
      <c r="N126" s="5">
        <v>2.9999999999999997E-4</v>
      </c>
      <c r="O126" s="2">
        <v>104726</v>
      </c>
      <c r="P126" s="2" t="s">
        <v>139</v>
      </c>
      <c r="Q126" s="2">
        <v>82.06</v>
      </c>
      <c r="R126" s="2">
        <v>82.06</v>
      </c>
      <c r="S126" s="2">
        <v>31.21</v>
      </c>
      <c r="T126" s="2">
        <v>17.940000000000001</v>
      </c>
      <c r="U126" s="1">
        <v>180</v>
      </c>
      <c r="V126" s="1" t="s">
        <v>325</v>
      </c>
      <c r="W126" s="1" t="s">
        <v>139</v>
      </c>
      <c r="X126" s="1" t="s">
        <v>199</v>
      </c>
      <c r="Y126" s="1" t="s">
        <v>200</v>
      </c>
      <c r="Z126" s="1">
        <v>5084300</v>
      </c>
    </row>
    <row r="127" spans="1:26" x14ac:dyDescent="0.75">
      <c r="A127" s="3">
        <v>96595</v>
      </c>
      <c r="B127" s="3" t="s">
        <v>140</v>
      </c>
      <c r="C127" s="4">
        <v>44630</v>
      </c>
      <c r="D127" s="3">
        <v>386003</v>
      </c>
      <c r="E127" s="6">
        <f t="shared" si="2"/>
        <v>7.5588715984852604</v>
      </c>
      <c r="F127" s="3">
        <v>4250</v>
      </c>
      <c r="G127" s="6">
        <f t="shared" si="3"/>
        <v>8.3225271030438516E-2</v>
      </c>
      <c r="H127" s="3">
        <v>0</v>
      </c>
      <c r="I127" s="3">
        <v>381753</v>
      </c>
      <c r="J127" s="3">
        <v>234</v>
      </c>
      <c r="K127" s="3">
        <v>1</v>
      </c>
      <c r="L127" s="3">
        <v>0</v>
      </c>
      <c r="N127" s="5">
        <v>1.0999999999999999E-2</v>
      </c>
      <c r="O127" s="2">
        <v>110797</v>
      </c>
      <c r="P127" s="2" t="s">
        <v>140</v>
      </c>
      <c r="Q127" s="2">
        <v>0</v>
      </c>
      <c r="R127" s="2">
        <v>0</v>
      </c>
      <c r="S127" s="2">
        <v>0</v>
      </c>
      <c r="T127" s="2">
        <v>0</v>
      </c>
      <c r="U127" s="1">
        <v>182</v>
      </c>
      <c r="V127" s="1" t="s">
        <v>326</v>
      </c>
      <c r="W127" s="1" t="s">
        <v>140</v>
      </c>
      <c r="X127" s="1" t="s">
        <v>199</v>
      </c>
      <c r="Y127" s="1" t="s">
        <v>200</v>
      </c>
      <c r="Z127" s="1">
        <v>5106622</v>
      </c>
    </row>
    <row r="128" spans="1:26" x14ac:dyDescent="0.75">
      <c r="A128" s="3">
        <v>97374</v>
      </c>
      <c r="B128" s="3" t="s">
        <v>141</v>
      </c>
      <c r="C128" s="4">
        <v>44630</v>
      </c>
      <c r="D128" s="3">
        <v>1517512</v>
      </c>
      <c r="E128" s="6">
        <f t="shared" si="2"/>
        <v>0.68699170909650098</v>
      </c>
      <c r="F128" s="3">
        <v>30298</v>
      </c>
      <c r="G128" s="6">
        <f t="shared" si="3"/>
        <v>1.3716184651064233E-2</v>
      </c>
      <c r="H128" s="3">
        <v>0</v>
      </c>
      <c r="I128" s="3">
        <v>1487214</v>
      </c>
      <c r="J128" s="3">
        <v>723</v>
      </c>
      <c r="K128" s="3">
        <v>7</v>
      </c>
      <c r="L128" s="3">
        <v>0</v>
      </c>
      <c r="N128" s="5">
        <v>0.02</v>
      </c>
      <c r="O128" s="2">
        <v>111509</v>
      </c>
      <c r="P128" s="2" t="s">
        <v>141</v>
      </c>
      <c r="Q128" s="2">
        <v>0</v>
      </c>
      <c r="R128" s="2">
        <v>0</v>
      </c>
      <c r="S128" s="2">
        <v>0</v>
      </c>
      <c r="T128" s="2">
        <v>0</v>
      </c>
      <c r="U128" s="1">
        <v>184</v>
      </c>
      <c r="V128" s="1" t="s">
        <v>327</v>
      </c>
      <c r="W128" s="1" t="s">
        <v>141</v>
      </c>
      <c r="X128" s="1" t="s">
        <v>199</v>
      </c>
      <c r="Y128" s="1" t="s">
        <v>200</v>
      </c>
      <c r="Z128" s="1">
        <v>220892331</v>
      </c>
    </row>
    <row r="129" spans="1:26" x14ac:dyDescent="0.75">
      <c r="A129" s="3">
        <v>98932</v>
      </c>
      <c r="B129" s="3" t="s">
        <v>142</v>
      </c>
      <c r="C129" s="4">
        <v>44630</v>
      </c>
      <c r="D129" s="3">
        <v>758923</v>
      </c>
      <c r="E129" s="6">
        <f t="shared" si="2"/>
        <v>17.588964227045349</v>
      </c>
      <c r="F129" s="3">
        <v>8128</v>
      </c>
      <c r="G129" s="6">
        <f t="shared" si="3"/>
        <v>0.18837629276939108</v>
      </c>
      <c r="H129" s="3">
        <v>0</v>
      </c>
      <c r="I129" s="3">
        <v>750795</v>
      </c>
      <c r="J129" s="3">
        <v>310</v>
      </c>
      <c r="K129" s="3">
        <v>3</v>
      </c>
      <c r="L129" s="3">
        <v>0</v>
      </c>
      <c r="N129" s="5">
        <v>1.0699999999999999E-2</v>
      </c>
      <c r="O129" s="2">
        <v>113079</v>
      </c>
      <c r="P129" s="2" t="s">
        <v>142</v>
      </c>
      <c r="Q129" s="2">
        <v>71.680000000000007</v>
      </c>
      <c r="R129" s="2">
        <v>71.680000000000007</v>
      </c>
      <c r="S129" s="2">
        <v>22.73</v>
      </c>
      <c r="T129" s="2">
        <v>28.32</v>
      </c>
      <c r="U129" s="1">
        <v>185</v>
      </c>
      <c r="V129" s="1" t="s">
        <v>328</v>
      </c>
      <c r="W129" s="1" t="s">
        <v>142</v>
      </c>
      <c r="X129" s="1" t="s">
        <v>199</v>
      </c>
      <c r="Y129" s="1" t="s">
        <v>200</v>
      </c>
      <c r="Z129" s="1">
        <v>4314768</v>
      </c>
    </row>
    <row r="130" spans="1:26" x14ac:dyDescent="0.75">
      <c r="A130" s="3">
        <v>101269</v>
      </c>
      <c r="B130" s="3" t="s">
        <v>143</v>
      </c>
      <c r="C130" s="4">
        <v>44630</v>
      </c>
      <c r="D130" s="3">
        <v>3531075</v>
      </c>
      <c r="E130" s="6">
        <f t="shared" si="2"/>
        <v>10.709363982835537</v>
      </c>
      <c r="F130" s="3">
        <v>211364</v>
      </c>
      <c r="G130" s="6">
        <f t="shared" si="3"/>
        <v>0.64104387725212597</v>
      </c>
      <c r="H130" s="3">
        <v>0</v>
      </c>
      <c r="I130" s="3">
        <v>3319711</v>
      </c>
      <c r="J130" s="3">
        <v>2136</v>
      </c>
      <c r="K130" s="3">
        <v>112</v>
      </c>
      <c r="L130" s="3">
        <v>0</v>
      </c>
      <c r="N130" s="5">
        <v>5.9900000000000002E-2</v>
      </c>
      <c r="O130" s="2">
        <v>115235</v>
      </c>
      <c r="P130" s="2" t="s">
        <v>143</v>
      </c>
      <c r="Q130" s="2">
        <v>75.25</v>
      </c>
      <c r="R130" s="2">
        <v>75.25</v>
      </c>
      <c r="S130" s="2">
        <v>24.55</v>
      </c>
      <c r="T130" s="2">
        <v>24.75</v>
      </c>
      <c r="U130" s="1">
        <v>186</v>
      </c>
      <c r="V130" s="1" t="s">
        <v>329</v>
      </c>
      <c r="W130" s="1" t="s">
        <v>143</v>
      </c>
      <c r="X130" s="1" t="s">
        <v>199</v>
      </c>
      <c r="Y130" s="1" t="s">
        <v>200</v>
      </c>
      <c r="Z130" s="1">
        <v>32971846</v>
      </c>
    </row>
    <row r="131" spans="1:26" x14ac:dyDescent="0.75">
      <c r="A131" s="3">
        <v>102048</v>
      </c>
      <c r="B131" s="3" t="s">
        <v>144</v>
      </c>
      <c r="C131" s="4">
        <v>44630</v>
      </c>
      <c r="D131" s="3">
        <v>3668940</v>
      </c>
      <c r="E131" s="6">
        <f t="shared" ref="E131:E181" si="4">D131/Z131*100</f>
        <v>3.3481508236572033</v>
      </c>
      <c r="F131" s="3">
        <v>57258</v>
      </c>
      <c r="G131" s="6">
        <f t="shared" ref="G131:G181" si="5">F131/Z131*100</f>
        <v>5.2251718442101566E-2</v>
      </c>
      <c r="H131" s="3">
        <v>0</v>
      </c>
      <c r="I131" s="3">
        <v>3611682</v>
      </c>
      <c r="J131" s="3">
        <v>0</v>
      </c>
      <c r="K131" s="3">
        <v>76</v>
      </c>
      <c r="L131" s="3">
        <v>0</v>
      </c>
      <c r="N131" s="5">
        <v>1.5599999999999999E-2</v>
      </c>
      <c r="O131" s="2">
        <v>115973</v>
      </c>
      <c r="P131" s="2" t="s">
        <v>144</v>
      </c>
      <c r="Q131" s="2">
        <v>0</v>
      </c>
      <c r="R131" s="2">
        <v>0</v>
      </c>
      <c r="S131" s="2">
        <v>0</v>
      </c>
      <c r="T131" s="2">
        <v>0</v>
      </c>
      <c r="U131" s="1">
        <v>187</v>
      </c>
      <c r="V131" s="1" t="s">
        <v>330</v>
      </c>
      <c r="W131" s="1" t="s">
        <v>144</v>
      </c>
      <c r="X131" s="1" t="s">
        <v>199</v>
      </c>
      <c r="Y131" s="1" t="s">
        <v>200</v>
      </c>
      <c r="Z131" s="1">
        <v>109581085</v>
      </c>
    </row>
    <row r="132" spans="1:26" x14ac:dyDescent="0.75">
      <c r="A132" s="3">
        <v>98153</v>
      </c>
      <c r="B132" s="3" t="s">
        <v>145</v>
      </c>
      <c r="C132" s="4">
        <v>44630</v>
      </c>
      <c r="D132" s="3">
        <v>3888</v>
      </c>
      <c r="E132" s="6">
        <f t="shared" si="4"/>
        <v>21.490161397302675</v>
      </c>
      <c r="F132" s="3">
        <v>6</v>
      </c>
      <c r="G132" s="6">
        <f t="shared" si="5"/>
        <v>3.3163829316825114E-2</v>
      </c>
      <c r="H132" s="3">
        <v>0</v>
      </c>
      <c r="I132" s="3">
        <v>3882</v>
      </c>
      <c r="J132" s="3">
        <v>0</v>
      </c>
      <c r="K132" s="3">
        <v>0</v>
      </c>
      <c r="L132" s="3">
        <v>0</v>
      </c>
      <c r="N132" s="5">
        <v>1.5E-3</v>
      </c>
      <c r="O132" s="2">
        <v>111677</v>
      </c>
      <c r="P132" s="2" t="s">
        <v>145</v>
      </c>
      <c r="Q132" s="2">
        <v>0</v>
      </c>
      <c r="R132" s="2">
        <v>0</v>
      </c>
      <c r="S132" s="2">
        <v>0</v>
      </c>
      <c r="T132" s="2">
        <v>0</v>
      </c>
      <c r="U132" s="1">
        <v>188</v>
      </c>
      <c r="V132" s="1" t="s">
        <v>331</v>
      </c>
      <c r="W132" s="1" t="s">
        <v>145</v>
      </c>
      <c r="X132" s="1" t="s">
        <v>199</v>
      </c>
      <c r="Y132" s="1" t="s">
        <v>200</v>
      </c>
      <c r="Z132" s="1">
        <v>18092</v>
      </c>
    </row>
    <row r="133" spans="1:26" x14ac:dyDescent="0.75">
      <c r="A133" s="3">
        <v>99711</v>
      </c>
      <c r="B133" s="3" t="s">
        <v>146</v>
      </c>
      <c r="C133" s="4">
        <v>44630</v>
      </c>
      <c r="D133" s="3">
        <v>41533</v>
      </c>
      <c r="E133" s="6">
        <f t="shared" si="4"/>
        <v>0.46421006665119036</v>
      </c>
      <c r="F133" s="3">
        <v>639</v>
      </c>
      <c r="G133" s="6">
        <f t="shared" si="5"/>
        <v>7.1420372376209433E-3</v>
      </c>
      <c r="H133" s="3">
        <v>0</v>
      </c>
      <c r="I133" s="3">
        <v>40894</v>
      </c>
      <c r="J133" s="3">
        <v>0</v>
      </c>
      <c r="K133" s="3">
        <v>0</v>
      </c>
      <c r="L133" s="3">
        <v>0</v>
      </c>
      <c r="N133" s="5">
        <v>1.54E-2</v>
      </c>
      <c r="O133" s="2">
        <v>113767</v>
      </c>
      <c r="P133" s="2" t="s">
        <v>146</v>
      </c>
      <c r="Q133" s="2">
        <v>0</v>
      </c>
      <c r="R133" s="2">
        <v>0</v>
      </c>
      <c r="S133" s="2">
        <v>0</v>
      </c>
      <c r="T133" s="2">
        <v>0</v>
      </c>
      <c r="U133" s="1">
        <v>189</v>
      </c>
      <c r="V133" s="1" t="s">
        <v>332</v>
      </c>
      <c r="W133" s="1" t="s">
        <v>146</v>
      </c>
      <c r="X133" s="1" t="s">
        <v>199</v>
      </c>
      <c r="Y133" s="1" t="s">
        <v>200</v>
      </c>
      <c r="Z133" s="1">
        <v>8947027</v>
      </c>
    </row>
    <row r="134" spans="1:26" x14ac:dyDescent="0.75">
      <c r="A134" s="3">
        <v>102827</v>
      </c>
      <c r="B134" s="3" t="s">
        <v>147</v>
      </c>
      <c r="C134" s="4">
        <v>44630</v>
      </c>
      <c r="D134" s="3">
        <v>5788363</v>
      </c>
      <c r="E134" s="6">
        <f t="shared" si="4"/>
        <v>15.252281098038456</v>
      </c>
      <c r="F134" s="3">
        <v>113186</v>
      </c>
      <c r="G134" s="6">
        <f t="shared" si="5"/>
        <v>0.29824402656892468</v>
      </c>
      <c r="H134" s="3">
        <v>0</v>
      </c>
      <c r="I134" s="3">
        <v>5675177</v>
      </c>
      <c r="J134" s="3">
        <v>13425</v>
      </c>
      <c r="K134" s="3">
        <v>184</v>
      </c>
      <c r="L134" s="3">
        <v>0</v>
      </c>
      <c r="N134" s="5">
        <v>1.9599999999999999E-2</v>
      </c>
      <c r="O134" s="2">
        <v>116762</v>
      </c>
      <c r="P134" s="2" t="s">
        <v>147</v>
      </c>
      <c r="Q134" s="2">
        <v>59.23</v>
      </c>
      <c r="R134" s="2">
        <v>59.23</v>
      </c>
      <c r="S134" s="2">
        <v>28.11</v>
      </c>
      <c r="T134" s="2">
        <v>40.770000000000003</v>
      </c>
      <c r="U134" s="1">
        <v>190</v>
      </c>
      <c r="V134" s="1" t="s">
        <v>333</v>
      </c>
      <c r="W134" s="1" t="s">
        <v>147</v>
      </c>
      <c r="X134" s="1" t="s">
        <v>199</v>
      </c>
      <c r="Y134" s="1" t="s">
        <v>200</v>
      </c>
      <c r="Z134" s="1">
        <v>37950802</v>
      </c>
    </row>
    <row r="135" spans="1:26" x14ac:dyDescent="0.75">
      <c r="A135" s="3">
        <v>103606</v>
      </c>
      <c r="B135" s="3" t="s">
        <v>148</v>
      </c>
      <c r="C135" s="4">
        <v>44630</v>
      </c>
      <c r="D135" s="3">
        <v>3380263</v>
      </c>
      <c r="E135" s="6">
        <f t="shared" si="4"/>
        <v>32.800368810479462</v>
      </c>
      <c r="F135" s="3">
        <v>21285</v>
      </c>
      <c r="G135" s="6">
        <f t="shared" si="5"/>
        <v>0.20653891431851762</v>
      </c>
      <c r="H135" s="3">
        <v>0</v>
      </c>
      <c r="I135" s="3">
        <v>3358978</v>
      </c>
      <c r="J135" s="3">
        <v>12794</v>
      </c>
      <c r="K135" s="3">
        <v>18</v>
      </c>
      <c r="L135" s="3">
        <v>0</v>
      </c>
      <c r="N135" s="5">
        <v>6.3E-3</v>
      </c>
      <c r="O135" s="2">
        <v>117469</v>
      </c>
      <c r="P135" s="2" t="s">
        <v>148</v>
      </c>
      <c r="Q135" s="2">
        <v>94.3</v>
      </c>
      <c r="R135" s="2">
        <v>94.3</v>
      </c>
      <c r="S135" s="2">
        <v>53.26</v>
      </c>
      <c r="T135" s="2">
        <v>5.7</v>
      </c>
      <c r="U135" s="1">
        <v>194</v>
      </c>
      <c r="V135" s="1" t="s">
        <v>334</v>
      </c>
      <c r="W135" s="1" t="s">
        <v>148</v>
      </c>
      <c r="X135" s="1" t="s">
        <v>199</v>
      </c>
      <c r="Y135" s="1" t="s">
        <v>200</v>
      </c>
      <c r="Z135" s="1">
        <v>10305564</v>
      </c>
    </row>
    <row r="136" spans="1:26" x14ac:dyDescent="0.75">
      <c r="A136" s="3">
        <v>100490</v>
      </c>
      <c r="B136" s="3" t="s">
        <v>149</v>
      </c>
      <c r="C136" s="4">
        <v>44630</v>
      </c>
      <c r="D136" s="3">
        <v>645383</v>
      </c>
      <c r="E136" s="6">
        <f t="shared" si="4"/>
        <v>9.04844424068318</v>
      </c>
      <c r="F136" s="3">
        <v>18517</v>
      </c>
      <c r="G136" s="6">
        <f t="shared" si="5"/>
        <v>0.25961334897995519</v>
      </c>
      <c r="H136" s="3">
        <v>0</v>
      </c>
      <c r="I136" s="3">
        <v>626866</v>
      </c>
      <c r="J136" s="3">
        <v>363</v>
      </c>
      <c r="K136" s="3">
        <v>7</v>
      </c>
      <c r="L136" s="3">
        <v>0</v>
      </c>
      <c r="N136" s="5">
        <v>2.87E-2</v>
      </c>
      <c r="O136" s="2">
        <v>114468</v>
      </c>
      <c r="P136" s="2" t="s">
        <v>149</v>
      </c>
      <c r="Q136" s="2">
        <v>0</v>
      </c>
      <c r="R136" s="2">
        <v>0</v>
      </c>
      <c r="S136" s="2">
        <v>0</v>
      </c>
      <c r="T136" s="2">
        <v>0</v>
      </c>
      <c r="U136" s="1">
        <v>195</v>
      </c>
      <c r="V136" s="1" t="s">
        <v>335</v>
      </c>
      <c r="W136" s="1" t="s">
        <v>149</v>
      </c>
      <c r="X136" s="1" t="s">
        <v>199</v>
      </c>
      <c r="Y136" s="1" t="s">
        <v>200</v>
      </c>
      <c r="Z136" s="1">
        <v>7132530</v>
      </c>
    </row>
    <row r="137" spans="1:26" x14ac:dyDescent="0.75">
      <c r="A137" s="3">
        <v>104385</v>
      </c>
      <c r="B137" s="3" t="s">
        <v>150</v>
      </c>
      <c r="C137" s="4">
        <v>44630</v>
      </c>
      <c r="D137" s="3">
        <v>358821</v>
      </c>
      <c r="E137" s="6">
        <f t="shared" si="4"/>
        <v>12.454478559974454</v>
      </c>
      <c r="F137" s="3">
        <v>672</v>
      </c>
      <c r="G137" s="6">
        <f t="shared" si="5"/>
        <v>2.3324748530054909E-2</v>
      </c>
      <c r="H137" s="3">
        <v>0</v>
      </c>
      <c r="I137" s="3">
        <v>358149</v>
      </c>
      <c r="J137" s="3">
        <v>127</v>
      </c>
      <c r="K137" s="3">
        <v>0</v>
      </c>
      <c r="L137" s="3">
        <v>0</v>
      </c>
      <c r="N137" s="5">
        <v>1.9E-3</v>
      </c>
      <c r="O137" s="2">
        <v>118177</v>
      </c>
      <c r="P137" s="2" t="s">
        <v>150</v>
      </c>
      <c r="Q137" s="2">
        <v>0</v>
      </c>
      <c r="R137" s="2">
        <v>0</v>
      </c>
      <c r="S137" s="2">
        <v>31.87</v>
      </c>
      <c r="T137" s="2">
        <v>0</v>
      </c>
      <c r="U137" s="1">
        <v>200</v>
      </c>
      <c r="V137" s="1" t="s">
        <v>336</v>
      </c>
      <c r="W137" s="1" t="s">
        <v>150</v>
      </c>
      <c r="X137" s="1" t="s">
        <v>199</v>
      </c>
      <c r="Y137" s="1" t="s">
        <v>200</v>
      </c>
      <c r="Z137" s="1">
        <v>2881060</v>
      </c>
    </row>
    <row r="138" spans="1:26" x14ac:dyDescent="0.75">
      <c r="A138" s="3">
        <v>105164</v>
      </c>
      <c r="B138" s="3" t="s">
        <v>151</v>
      </c>
      <c r="C138" s="4">
        <v>44630</v>
      </c>
      <c r="D138" s="3">
        <v>2784651</v>
      </c>
      <c r="E138" s="6">
        <f t="shared" si="4"/>
        <v>14.438625119211363</v>
      </c>
      <c r="F138" s="3">
        <v>64226</v>
      </c>
      <c r="G138" s="6">
        <f t="shared" si="5"/>
        <v>0.33301664621759386</v>
      </c>
      <c r="H138" s="3">
        <v>0</v>
      </c>
      <c r="I138" s="3">
        <v>2720425</v>
      </c>
      <c r="J138" s="3">
        <v>3565</v>
      </c>
      <c r="K138" s="3">
        <v>70</v>
      </c>
      <c r="L138" s="3">
        <v>0</v>
      </c>
      <c r="N138" s="5">
        <v>2.3099999999999999E-2</v>
      </c>
      <c r="O138" s="2">
        <v>118888</v>
      </c>
      <c r="P138" s="2" t="s">
        <v>151</v>
      </c>
      <c r="Q138" s="2">
        <v>0</v>
      </c>
      <c r="R138" s="2">
        <v>0</v>
      </c>
      <c r="S138" s="2">
        <v>0</v>
      </c>
      <c r="T138" s="2">
        <v>0</v>
      </c>
      <c r="U138" s="1">
        <v>201</v>
      </c>
      <c r="V138" s="1" t="s">
        <v>337</v>
      </c>
      <c r="W138" s="1" t="s">
        <v>151</v>
      </c>
      <c r="X138" s="1" t="s">
        <v>199</v>
      </c>
      <c r="Y138" s="1" t="s">
        <v>200</v>
      </c>
      <c r="Z138" s="1">
        <v>19286123</v>
      </c>
    </row>
    <row r="139" spans="1:26" x14ac:dyDescent="0.75">
      <c r="A139" s="3">
        <v>105943</v>
      </c>
      <c r="B139" s="3" t="s">
        <v>152</v>
      </c>
      <c r="C139" s="4">
        <v>44630</v>
      </c>
      <c r="D139" s="3">
        <v>16943915</v>
      </c>
      <c r="E139" s="6">
        <f t="shared" si="4"/>
        <v>11.758109138894609</v>
      </c>
      <c r="F139" s="3">
        <v>351776</v>
      </c>
      <c r="G139" s="6">
        <f t="shared" si="5"/>
        <v>0.24411244983486938</v>
      </c>
      <c r="H139" s="3">
        <v>0</v>
      </c>
      <c r="I139" s="3">
        <v>16592139</v>
      </c>
      <c r="J139" s="3">
        <v>50284</v>
      </c>
      <c r="K139" s="3">
        <v>652</v>
      </c>
      <c r="L139" s="3">
        <v>0</v>
      </c>
      <c r="N139" s="5">
        <v>2.0799999999999999E-2</v>
      </c>
      <c r="O139" s="2">
        <v>119625</v>
      </c>
      <c r="P139" s="2" t="s">
        <v>152</v>
      </c>
      <c r="Q139" s="2">
        <v>52.85</v>
      </c>
      <c r="R139" s="2">
        <v>52.85</v>
      </c>
      <c r="S139" s="2">
        <v>7.1</v>
      </c>
      <c r="T139" s="2">
        <v>47.15</v>
      </c>
      <c r="U139" s="1">
        <v>202</v>
      </c>
      <c r="V139" s="1" t="s">
        <v>338</v>
      </c>
      <c r="W139" s="1" t="s">
        <v>152</v>
      </c>
      <c r="X139" s="1" t="s">
        <v>199</v>
      </c>
      <c r="Y139" s="1" t="s">
        <v>200</v>
      </c>
      <c r="Z139" s="1">
        <v>144104080</v>
      </c>
    </row>
    <row r="140" spans="1:26" x14ac:dyDescent="0.75">
      <c r="A140" s="3">
        <v>106722</v>
      </c>
      <c r="B140" s="3" t="s">
        <v>153</v>
      </c>
      <c r="C140" s="4">
        <v>44630</v>
      </c>
      <c r="D140" s="3">
        <v>129576</v>
      </c>
      <c r="E140" s="6">
        <f t="shared" si="4"/>
        <v>1.0004162224374236</v>
      </c>
      <c r="F140" s="3">
        <v>1459</v>
      </c>
      <c r="G140" s="6">
        <f t="shared" si="5"/>
        <v>1.1264487779652105E-2</v>
      </c>
      <c r="H140" s="3">
        <v>0</v>
      </c>
      <c r="I140" s="3">
        <v>128117</v>
      </c>
      <c r="J140" s="3">
        <v>7</v>
      </c>
      <c r="K140" s="3">
        <v>0</v>
      </c>
      <c r="L140" s="3">
        <v>0</v>
      </c>
      <c r="N140" s="5">
        <v>1.1299999999999999E-2</v>
      </c>
      <c r="O140" s="2">
        <v>120319</v>
      </c>
      <c r="P140" s="2" t="s">
        <v>153</v>
      </c>
      <c r="Q140" s="2">
        <v>0</v>
      </c>
      <c r="R140" s="2">
        <v>0</v>
      </c>
      <c r="S140" s="2">
        <v>0</v>
      </c>
      <c r="T140" s="2">
        <v>0</v>
      </c>
      <c r="U140" s="1">
        <v>203</v>
      </c>
      <c r="V140" s="1" t="s">
        <v>339</v>
      </c>
      <c r="W140" s="1" t="s">
        <v>153</v>
      </c>
      <c r="X140" s="1" t="s">
        <v>199</v>
      </c>
      <c r="Y140" s="1" t="s">
        <v>200</v>
      </c>
      <c r="Z140" s="1">
        <v>12952209</v>
      </c>
    </row>
    <row r="141" spans="1:26" x14ac:dyDescent="0.75">
      <c r="A141" s="3">
        <v>112175</v>
      </c>
      <c r="B141" s="3" t="s">
        <v>154</v>
      </c>
      <c r="C141" s="4">
        <v>44630</v>
      </c>
      <c r="D141" s="3">
        <v>748311</v>
      </c>
      <c r="E141" s="6">
        <f t="shared" si="4"/>
        <v>2.1494624541421956</v>
      </c>
      <c r="F141" s="3">
        <v>9014</v>
      </c>
      <c r="G141" s="6">
        <f t="shared" si="5"/>
        <v>2.5891981491168451E-2</v>
      </c>
      <c r="H141" s="3">
        <v>0</v>
      </c>
      <c r="I141" s="3">
        <v>739297</v>
      </c>
      <c r="J141" s="3">
        <v>190</v>
      </c>
      <c r="K141" s="3">
        <v>1</v>
      </c>
      <c r="L141" s="3">
        <v>0</v>
      </c>
      <c r="N141" s="5">
        <v>1.2E-2</v>
      </c>
      <c r="O141" s="2">
        <v>126109</v>
      </c>
      <c r="P141" s="2" t="s">
        <v>154</v>
      </c>
      <c r="Q141" s="2">
        <v>72.569999999999993</v>
      </c>
      <c r="R141" s="2">
        <v>72.569999999999993</v>
      </c>
      <c r="S141" s="2">
        <v>25.33</v>
      </c>
      <c r="T141" s="2">
        <v>27.43</v>
      </c>
      <c r="U141" s="1">
        <v>205</v>
      </c>
      <c r="V141" s="1" t="s">
        <v>340</v>
      </c>
      <c r="W141" s="1" t="s">
        <v>154</v>
      </c>
      <c r="X141" s="1" t="s">
        <v>199</v>
      </c>
      <c r="Y141" s="1" t="s">
        <v>200</v>
      </c>
      <c r="Z141" s="1">
        <v>34813867</v>
      </c>
    </row>
    <row r="142" spans="1:26" x14ac:dyDescent="0.75">
      <c r="A142" s="3">
        <v>123081</v>
      </c>
      <c r="B142" s="3" t="s">
        <v>155</v>
      </c>
      <c r="C142" s="4">
        <v>44630</v>
      </c>
      <c r="D142" s="3">
        <v>61643</v>
      </c>
      <c r="E142" s="6">
        <f t="shared" si="4"/>
        <v>0.14057931045555172</v>
      </c>
      <c r="F142" s="3">
        <v>4865</v>
      </c>
      <c r="G142" s="6">
        <f t="shared" si="5"/>
        <v>1.109482577691318E-2</v>
      </c>
      <c r="H142" s="3">
        <v>0</v>
      </c>
      <c r="I142" s="3">
        <v>56778</v>
      </c>
      <c r="J142" s="3">
        <v>0</v>
      </c>
      <c r="K142" s="3">
        <v>0</v>
      </c>
      <c r="L142" s="3">
        <v>0</v>
      </c>
      <c r="N142" s="5">
        <v>7.8899999999999998E-2</v>
      </c>
      <c r="O142" s="2">
        <v>137557</v>
      </c>
      <c r="P142" s="2" t="s">
        <v>155</v>
      </c>
      <c r="Q142" s="2">
        <v>0</v>
      </c>
      <c r="R142" s="2">
        <v>0</v>
      </c>
      <c r="S142" s="2">
        <v>0</v>
      </c>
      <c r="T142" s="2">
        <v>0</v>
      </c>
      <c r="U142" s="1">
        <v>206</v>
      </c>
      <c r="V142" s="1" t="s">
        <v>341</v>
      </c>
      <c r="W142" s="1" t="s">
        <v>155</v>
      </c>
      <c r="X142" s="1" t="s">
        <v>199</v>
      </c>
      <c r="Y142" s="1" t="s">
        <v>200</v>
      </c>
      <c r="Z142" s="1">
        <v>43849269</v>
      </c>
    </row>
    <row r="143" spans="1:26" x14ac:dyDescent="0.75">
      <c r="A143" s="3">
        <v>112954</v>
      </c>
      <c r="B143" s="3" t="s">
        <v>156</v>
      </c>
      <c r="C143" s="4">
        <v>44630</v>
      </c>
      <c r="D143" s="3">
        <v>85782</v>
      </c>
      <c r="E143" s="6">
        <f t="shared" si="4"/>
        <v>0.51231700084747134</v>
      </c>
      <c r="F143" s="3">
        <v>1962</v>
      </c>
      <c r="G143" s="6">
        <f t="shared" si="5"/>
        <v>1.1717679182844172E-2</v>
      </c>
      <c r="H143" s="3">
        <v>0</v>
      </c>
      <c r="I143" s="3">
        <v>83820</v>
      </c>
      <c r="J143" s="3">
        <v>7</v>
      </c>
      <c r="K143" s="3">
        <v>0</v>
      </c>
      <c r="L143" s="3">
        <v>0</v>
      </c>
      <c r="N143" s="5">
        <v>2.29E-2</v>
      </c>
      <c r="O143" s="2">
        <v>126818</v>
      </c>
      <c r="P143" s="2" t="s">
        <v>156</v>
      </c>
      <c r="Q143" s="2">
        <v>0</v>
      </c>
      <c r="R143" s="2">
        <v>0</v>
      </c>
      <c r="S143" s="2">
        <v>0</v>
      </c>
      <c r="T143" s="2">
        <v>0</v>
      </c>
      <c r="U143" s="1">
        <v>207</v>
      </c>
      <c r="V143" s="1" t="s">
        <v>342</v>
      </c>
      <c r="W143" s="1" t="s">
        <v>156</v>
      </c>
      <c r="X143" s="1" t="s">
        <v>199</v>
      </c>
      <c r="Y143" s="1" t="s">
        <v>200</v>
      </c>
      <c r="Z143" s="1">
        <v>16743930</v>
      </c>
    </row>
    <row r="144" spans="1:26" x14ac:dyDescent="0.75">
      <c r="A144" s="3">
        <v>116070</v>
      </c>
      <c r="B144" s="3" t="s">
        <v>157</v>
      </c>
      <c r="C144" s="4">
        <v>44630</v>
      </c>
      <c r="D144" s="3">
        <v>901758</v>
      </c>
      <c r="E144" s="6">
        <f t="shared" si="4"/>
        <v>15.859806708177047</v>
      </c>
      <c r="F144" s="3">
        <v>1116</v>
      </c>
      <c r="G144" s="6">
        <f t="shared" si="5"/>
        <v>1.9627820641819182E-2</v>
      </c>
      <c r="H144" s="3">
        <v>0</v>
      </c>
      <c r="I144" s="3">
        <v>900642</v>
      </c>
      <c r="J144" s="3">
        <v>16165</v>
      </c>
      <c r="K144" s="3">
        <v>6</v>
      </c>
      <c r="L144" s="3">
        <v>0</v>
      </c>
      <c r="N144" s="5">
        <v>1.1999999999999999E-3</v>
      </c>
      <c r="O144" s="2">
        <v>129644</v>
      </c>
      <c r="P144" s="2" t="s">
        <v>157</v>
      </c>
      <c r="Q144" s="2">
        <v>0</v>
      </c>
      <c r="R144" s="2">
        <v>0</v>
      </c>
      <c r="S144" s="2">
        <v>0</v>
      </c>
      <c r="T144" s="2">
        <v>0</v>
      </c>
      <c r="U144" s="1">
        <v>208</v>
      </c>
      <c r="V144" s="1" t="s">
        <v>343</v>
      </c>
      <c r="W144" s="1" t="s">
        <v>157</v>
      </c>
      <c r="X144" s="1" t="s">
        <v>199</v>
      </c>
      <c r="Y144" s="1" t="s">
        <v>200</v>
      </c>
      <c r="Z144" s="1">
        <v>5685807</v>
      </c>
    </row>
    <row r="145" spans="1:26" x14ac:dyDescent="0.75">
      <c r="A145" s="3">
        <v>118407</v>
      </c>
      <c r="B145" s="3" t="s">
        <v>158</v>
      </c>
      <c r="C145" s="4">
        <v>44630</v>
      </c>
      <c r="D145" s="3">
        <v>8491</v>
      </c>
      <c r="E145" s="6">
        <f t="shared" si="4"/>
        <v>1.2361729448315422</v>
      </c>
      <c r="F145" s="3">
        <v>118</v>
      </c>
      <c r="G145" s="6">
        <f t="shared" si="5"/>
        <v>1.7179178835251677E-2</v>
      </c>
      <c r="H145" s="3">
        <v>0</v>
      </c>
      <c r="I145" s="3">
        <v>8373</v>
      </c>
      <c r="J145" s="3">
        <v>0</v>
      </c>
      <c r="K145" s="3">
        <v>0</v>
      </c>
      <c r="L145" s="3">
        <v>0</v>
      </c>
      <c r="N145" s="5">
        <v>1.3899999999999999E-2</v>
      </c>
      <c r="O145" s="2">
        <v>131830</v>
      </c>
      <c r="P145" s="2" t="s">
        <v>158</v>
      </c>
      <c r="Q145" s="2">
        <v>0</v>
      </c>
      <c r="R145" s="2">
        <v>0</v>
      </c>
      <c r="S145" s="2">
        <v>0</v>
      </c>
      <c r="T145" s="2">
        <v>0</v>
      </c>
      <c r="U145" s="1">
        <v>209</v>
      </c>
      <c r="V145" s="1" t="s">
        <v>344</v>
      </c>
      <c r="W145" s="1" t="s">
        <v>158</v>
      </c>
      <c r="X145" s="1" t="s">
        <v>199</v>
      </c>
      <c r="Y145" s="1" t="s">
        <v>200</v>
      </c>
      <c r="Z145" s="1">
        <v>686878</v>
      </c>
    </row>
    <row r="146" spans="1:26" x14ac:dyDescent="0.75">
      <c r="A146" s="3">
        <v>115291</v>
      </c>
      <c r="B146" s="3" t="s">
        <v>159</v>
      </c>
      <c r="C146" s="4">
        <v>44630</v>
      </c>
      <c r="D146" s="3">
        <v>7667</v>
      </c>
      <c r="E146" s="6">
        <f t="shared" si="4"/>
        <v>9.6114007986726813E-2</v>
      </c>
      <c r="F146" s="3">
        <v>125</v>
      </c>
      <c r="G146" s="6">
        <f t="shared" si="5"/>
        <v>1.5670080863885291E-3</v>
      </c>
      <c r="H146" s="3">
        <v>0</v>
      </c>
      <c r="I146" s="3">
        <v>7542</v>
      </c>
      <c r="J146" s="3">
        <v>1</v>
      </c>
      <c r="K146" s="3">
        <v>0</v>
      </c>
      <c r="L146" s="3">
        <v>0</v>
      </c>
      <c r="N146" s="5">
        <v>1.6299999999999999E-2</v>
      </c>
      <c r="O146" s="2">
        <v>128899</v>
      </c>
      <c r="P146" s="2" t="s">
        <v>159</v>
      </c>
      <c r="Q146" s="2">
        <v>0</v>
      </c>
      <c r="R146" s="2">
        <v>0</v>
      </c>
      <c r="S146" s="2">
        <v>0</v>
      </c>
      <c r="T146" s="2">
        <v>0</v>
      </c>
      <c r="U146" s="1">
        <v>210</v>
      </c>
      <c r="V146" s="1" t="s">
        <v>345</v>
      </c>
      <c r="W146" s="1" t="s">
        <v>159</v>
      </c>
      <c r="X146" s="1" t="s">
        <v>199</v>
      </c>
      <c r="Y146" s="1" t="s">
        <v>200</v>
      </c>
      <c r="Z146" s="1">
        <v>7976985</v>
      </c>
    </row>
    <row r="147" spans="1:26" x14ac:dyDescent="0.75">
      <c r="A147" s="3">
        <v>38949</v>
      </c>
      <c r="B147" s="3" t="s">
        <v>160</v>
      </c>
      <c r="C147" s="4">
        <v>44630</v>
      </c>
      <c r="D147" s="3">
        <v>156364</v>
      </c>
      <c r="E147" s="6">
        <f t="shared" si="4"/>
        <v>2.4107177683824474</v>
      </c>
      <c r="F147" s="3">
        <v>4094</v>
      </c>
      <c r="G147" s="6">
        <f t="shared" si="5"/>
        <v>6.3118611341214978E-2</v>
      </c>
      <c r="H147" s="3">
        <v>0</v>
      </c>
      <c r="I147" s="3">
        <v>152270</v>
      </c>
      <c r="J147" s="3">
        <v>0</v>
      </c>
      <c r="K147" s="3">
        <v>1</v>
      </c>
      <c r="L147" s="3">
        <v>0</v>
      </c>
      <c r="N147" s="5">
        <v>2.6200000000000001E-2</v>
      </c>
      <c r="O147" s="2">
        <v>43889</v>
      </c>
      <c r="P147" s="2" t="s">
        <v>160</v>
      </c>
      <c r="Q147" s="2">
        <v>0</v>
      </c>
      <c r="R147" s="2">
        <v>0</v>
      </c>
      <c r="S147" s="2">
        <v>0</v>
      </c>
      <c r="T147" s="2">
        <v>0</v>
      </c>
      <c r="U147" s="1">
        <v>211</v>
      </c>
      <c r="V147" s="1" t="s">
        <v>346</v>
      </c>
      <c r="W147" s="1" t="s">
        <v>160</v>
      </c>
      <c r="X147" s="1" t="s">
        <v>199</v>
      </c>
      <c r="Y147" s="1" t="s">
        <v>200</v>
      </c>
      <c r="Z147" s="1">
        <v>6486201</v>
      </c>
    </row>
    <row r="148" spans="1:26" x14ac:dyDescent="0.75">
      <c r="A148" s="3">
        <v>110617</v>
      </c>
      <c r="B148" s="3" t="s">
        <v>161</v>
      </c>
      <c r="C148" s="4">
        <v>44630</v>
      </c>
      <c r="D148" s="3">
        <v>14653</v>
      </c>
      <c r="E148" s="6">
        <f t="shared" si="4"/>
        <v>43.175791148565033</v>
      </c>
      <c r="F148" s="3">
        <v>112</v>
      </c>
      <c r="G148" s="6">
        <f t="shared" si="5"/>
        <v>0.33001355412811595</v>
      </c>
      <c r="H148" s="3">
        <v>0</v>
      </c>
      <c r="I148" s="3">
        <v>14541</v>
      </c>
      <c r="J148" s="3">
        <v>24</v>
      </c>
      <c r="K148" s="3">
        <v>0</v>
      </c>
      <c r="L148" s="3">
        <v>0</v>
      </c>
      <c r="N148" s="5">
        <v>7.6E-3</v>
      </c>
      <c r="O148" s="2">
        <v>124732</v>
      </c>
      <c r="P148" s="2" t="s">
        <v>161</v>
      </c>
      <c r="Q148" s="2">
        <v>0</v>
      </c>
      <c r="R148" s="2">
        <v>0</v>
      </c>
      <c r="S148" s="2">
        <v>0</v>
      </c>
      <c r="T148" s="2">
        <v>0</v>
      </c>
      <c r="U148" s="1">
        <v>212</v>
      </c>
      <c r="V148" s="1" t="s">
        <v>347</v>
      </c>
      <c r="W148" s="1" t="s">
        <v>161</v>
      </c>
      <c r="X148" s="1" t="s">
        <v>199</v>
      </c>
      <c r="Y148" s="1" t="s">
        <v>200</v>
      </c>
      <c r="Z148" s="1">
        <v>33938</v>
      </c>
    </row>
    <row r="149" spans="1:26" x14ac:dyDescent="0.75">
      <c r="A149" s="3">
        <v>119186</v>
      </c>
      <c r="B149" s="3" t="s">
        <v>162</v>
      </c>
      <c r="C149" s="4">
        <v>44630</v>
      </c>
      <c r="D149" s="3">
        <v>26400</v>
      </c>
      <c r="E149" s="6">
        <f t="shared" si="4"/>
        <v>0.16610857750088262</v>
      </c>
      <c r="F149" s="3">
        <v>1359</v>
      </c>
      <c r="G149" s="6">
        <f t="shared" si="5"/>
        <v>8.5508165463522526E-3</v>
      </c>
      <c r="H149" s="3">
        <v>0</v>
      </c>
      <c r="I149" s="3">
        <v>25041</v>
      </c>
      <c r="J149" s="3">
        <v>0</v>
      </c>
      <c r="K149" s="3">
        <v>0</v>
      </c>
      <c r="L149" s="3">
        <v>0</v>
      </c>
      <c r="N149" s="5">
        <v>5.1499999999999997E-2</v>
      </c>
      <c r="O149" s="2">
        <v>132522</v>
      </c>
      <c r="P149" s="2" t="s">
        <v>162</v>
      </c>
      <c r="Q149" s="2">
        <v>0</v>
      </c>
      <c r="R149" s="2">
        <v>0</v>
      </c>
      <c r="S149" s="2">
        <v>0</v>
      </c>
      <c r="T149" s="2">
        <v>0</v>
      </c>
      <c r="U149" s="1">
        <v>213</v>
      </c>
      <c r="V149" s="1" t="s">
        <v>348</v>
      </c>
      <c r="W149" s="1" t="s">
        <v>162</v>
      </c>
      <c r="X149" s="1" t="s">
        <v>199</v>
      </c>
      <c r="Y149" s="1" t="s">
        <v>200</v>
      </c>
      <c r="Z149" s="1">
        <v>15893219</v>
      </c>
    </row>
    <row r="150" spans="1:26" x14ac:dyDescent="0.75">
      <c r="A150" s="3">
        <v>113733</v>
      </c>
      <c r="B150" s="3" t="s">
        <v>163</v>
      </c>
      <c r="C150" s="4">
        <v>44630</v>
      </c>
      <c r="D150" s="3">
        <v>1934953</v>
      </c>
      <c r="E150" s="6">
        <f t="shared" si="4"/>
        <v>28.009413128468331</v>
      </c>
      <c r="F150" s="3">
        <v>15533</v>
      </c>
      <c r="G150" s="6">
        <f t="shared" si="5"/>
        <v>0.2248479493426965</v>
      </c>
      <c r="H150" s="3">
        <v>0</v>
      </c>
      <c r="I150" s="3">
        <v>1919420</v>
      </c>
      <c r="J150" s="3">
        <v>2139</v>
      </c>
      <c r="K150" s="3">
        <v>21</v>
      </c>
      <c r="L150" s="3">
        <v>0</v>
      </c>
      <c r="N150" s="5">
        <v>8.0000000000000002E-3</v>
      </c>
      <c r="O150" s="2">
        <v>127529</v>
      </c>
      <c r="P150" s="2" t="s">
        <v>163</v>
      </c>
      <c r="Q150" s="2">
        <v>0</v>
      </c>
      <c r="R150" s="2">
        <v>0</v>
      </c>
      <c r="S150" s="2">
        <v>0</v>
      </c>
      <c r="T150" s="2">
        <v>0</v>
      </c>
      <c r="U150" s="1">
        <v>214</v>
      </c>
      <c r="V150" s="1" t="s">
        <v>349</v>
      </c>
      <c r="W150" s="1" t="s">
        <v>163</v>
      </c>
      <c r="X150" s="1" t="s">
        <v>199</v>
      </c>
      <c r="Y150" s="1" t="s">
        <v>200</v>
      </c>
      <c r="Z150" s="1">
        <v>6908224</v>
      </c>
    </row>
    <row r="151" spans="1:26" x14ac:dyDescent="0.75">
      <c r="A151" s="3">
        <v>120744</v>
      </c>
      <c r="B151" s="3" t="s">
        <v>164</v>
      </c>
      <c r="C151" s="4">
        <v>44630</v>
      </c>
      <c r="D151" s="3">
        <v>17044</v>
      </c>
      <c r="E151" s="6">
        <f t="shared" si="4"/>
        <v>0.15226382557590951</v>
      </c>
      <c r="F151" s="3">
        <v>138</v>
      </c>
      <c r="G151" s="6">
        <f t="shared" si="5"/>
        <v>1.2328331336232993E-3</v>
      </c>
      <c r="H151" s="3">
        <v>0</v>
      </c>
      <c r="I151" s="3">
        <v>16906</v>
      </c>
      <c r="J151" s="3">
        <v>10</v>
      </c>
      <c r="K151" s="3">
        <v>1</v>
      </c>
      <c r="L151" s="3">
        <v>0</v>
      </c>
      <c r="N151" s="5">
        <v>8.0999999999999996E-3</v>
      </c>
      <c r="O151" s="2">
        <v>135385</v>
      </c>
      <c r="P151" s="2" t="s">
        <v>164</v>
      </c>
      <c r="Q151" s="2">
        <v>0</v>
      </c>
      <c r="R151" s="2">
        <v>0</v>
      </c>
      <c r="S151" s="2">
        <v>0</v>
      </c>
      <c r="T151" s="2">
        <v>0</v>
      </c>
      <c r="U151" s="1">
        <v>216</v>
      </c>
      <c r="V151" s="1" t="s">
        <v>350</v>
      </c>
      <c r="W151" s="1" t="s">
        <v>164</v>
      </c>
      <c r="X151" s="1" t="s">
        <v>199</v>
      </c>
      <c r="Y151" s="1" t="s">
        <v>200</v>
      </c>
      <c r="Z151" s="1">
        <v>11193729</v>
      </c>
    </row>
    <row r="152" spans="1:26" x14ac:dyDescent="0.75">
      <c r="A152" s="3">
        <v>111396</v>
      </c>
      <c r="B152" s="3" t="s">
        <v>165</v>
      </c>
      <c r="C152" s="4">
        <v>44630</v>
      </c>
      <c r="D152" s="3">
        <v>5939</v>
      </c>
      <c r="E152" s="6">
        <f t="shared" si="4"/>
        <v>2.709879951268702</v>
      </c>
      <c r="F152" s="3">
        <v>72</v>
      </c>
      <c r="G152" s="6">
        <f t="shared" si="5"/>
        <v>3.2852560446429792E-2</v>
      </c>
      <c r="H152" s="3">
        <v>0</v>
      </c>
      <c r="I152" s="3">
        <v>5867</v>
      </c>
      <c r="J152" s="3">
        <v>0</v>
      </c>
      <c r="K152" s="3">
        <v>0</v>
      </c>
      <c r="L152" s="3">
        <v>0</v>
      </c>
      <c r="N152" s="5">
        <v>1.21E-2</v>
      </c>
      <c r="O152" s="2">
        <v>125403</v>
      </c>
      <c r="P152" s="2" t="s">
        <v>165</v>
      </c>
      <c r="Q152" s="2">
        <v>0</v>
      </c>
      <c r="R152" s="2">
        <v>0</v>
      </c>
      <c r="S152" s="2">
        <v>0</v>
      </c>
      <c r="T152" s="2">
        <v>0</v>
      </c>
      <c r="U152" s="1">
        <v>219</v>
      </c>
      <c r="V152" s="1" t="s">
        <v>351</v>
      </c>
      <c r="W152" s="1" t="s">
        <v>165</v>
      </c>
      <c r="X152" s="1" t="s">
        <v>199</v>
      </c>
      <c r="Y152" s="1" t="s">
        <v>200</v>
      </c>
      <c r="Z152" s="1">
        <v>219161</v>
      </c>
    </row>
    <row r="153" spans="1:26" x14ac:dyDescent="0.75">
      <c r="A153" s="3">
        <v>123860</v>
      </c>
      <c r="B153" s="3" t="s">
        <v>166</v>
      </c>
      <c r="C153" s="4">
        <v>44630</v>
      </c>
      <c r="D153" s="3">
        <v>78705</v>
      </c>
      <c r="E153" s="6">
        <f t="shared" si="4"/>
        <v>13.416372047989036</v>
      </c>
      <c r="F153" s="3">
        <v>1319</v>
      </c>
      <c r="G153" s="6">
        <f t="shared" si="5"/>
        <v>0.22484206506953228</v>
      </c>
      <c r="H153" s="3">
        <v>0</v>
      </c>
      <c r="I153" s="3">
        <v>77386</v>
      </c>
      <c r="J153" s="3">
        <v>51</v>
      </c>
      <c r="K153" s="3">
        <v>0</v>
      </c>
      <c r="L153" s="3">
        <v>0</v>
      </c>
      <c r="N153" s="5">
        <v>1.6799999999999999E-2</v>
      </c>
      <c r="O153" s="2">
        <v>138251</v>
      </c>
      <c r="P153" s="2" t="s">
        <v>166</v>
      </c>
      <c r="Q153" s="2">
        <v>0</v>
      </c>
      <c r="R153" s="2">
        <v>0</v>
      </c>
      <c r="S153" s="2">
        <v>0</v>
      </c>
      <c r="T153" s="2">
        <v>0</v>
      </c>
      <c r="U153" s="1">
        <v>220</v>
      </c>
      <c r="V153" s="1" t="s">
        <v>352</v>
      </c>
      <c r="W153" s="1" t="s">
        <v>166</v>
      </c>
      <c r="X153" s="1" t="s">
        <v>199</v>
      </c>
      <c r="Y153" s="1" t="s">
        <v>200</v>
      </c>
      <c r="Z153" s="1">
        <v>586634</v>
      </c>
    </row>
    <row r="154" spans="1:26" x14ac:dyDescent="0.75">
      <c r="A154" s="3">
        <v>116849</v>
      </c>
      <c r="B154" s="3" t="s">
        <v>167</v>
      </c>
      <c r="C154" s="4">
        <v>44630</v>
      </c>
      <c r="D154" s="3">
        <v>2246029</v>
      </c>
      <c r="E154" s="6">
        <f t="shared" si="4"/>
        <v>41.144901642788831</v>
      </c>
      <c r="F154" s="3">
        <v>18817</v>
      </c>
      <c r="G154" s="6">
        <f t="shared" si="5"/>
        <v>0.34470775498106093</v>
      </c>
      <c r="H154" s="3">
        <v>0</v>
      </c>
      <c r="I154" s="3">
        <v>2227212</v>
      </c>
      <c r="J154" s="3">
        <v>14677</v>
      </c>
      <c r="K154" s="3">
        <v>31</v>
      </c>
      <c r="L154" s="3">
        <v>0</v>
      </c>
      <c r="N154" s="5">
        <v>8.3999999999999995E-3</v>
      </c>
      <c r="O154" s="2">
        <v>130613</v>
      </c>
      <c r="P154" s="2" t="s">
        <v>167</v>
      </c>
      <c r="Q154" s="2">
        <v>0</v>
      </c>
      <c r="R154" s="2">
        <v>0</v>
      </c>
      <c r="S154" s="2">
        <v>0</v>
      </c>
      <c r="T154" s="2">
        <v>0</v>
      </c>
      <c r="U154" s="1">
        <v>221</v>
      </c>
      <c r="V154" s="1" t="s">
        <v>353</v>
      </c>
      <c r="W154" s="1" t="s">
        <v>167</v>
      </c>
      <c r="X154" s="1" t="s">
        <v>199</v>
      </c>
      <c r="Y154" s="1" t="s">
        <v>200</v>
      </c>
      <c r="Z154" s="1">
        <v>5458827</v>
      </c>
    </row>
    <row r="155" spans="1:26" x14ac:dyDescent="0.75">
      <c r="A155" s="3">
        <v>117628</v>
      </c>
      <c r="B155" s="3" t="s">
        <v>168</v>
      </c>
      <c r="C155" s="4">
        <v>44630</v>
      </c>
      <c r="D155" s="3">
        <v>912193</v>
      </c>
      <c r="E155" s="6">
        <f t="shared" si="4"/>
        <v>43.435155795414182</v>
      </c>
      <c r="F155" s="3">
        <v>6388</v>
      </c>
      <c r="G155" s="6">
        <f t="shared" si="5"/>
        <v>0.30417222585692477</v>
      </c>
      <c r="H155" s="3">
        <v>0</v>
      </c>
      <c r="I155" s="3">
        <v>905805</v>
      </c>
      <c r="J155" s="3">
        <v>2330</v>
      </c>
      <c r="K155" s="3">
        <v>6</v>
      </c>
      <c r="L155" s="3">
        <v>0</v>
      </c>
      <c r="N155" s="5">
        <v>7.0000000000000001E-3</v>
      </c>
      <c r="O155" s="2">
        <v>131348</v>
      </c>
      <c r="P155" s="2" t="s">
        <v>168</v>
      </c>
      <c r="Q155" s="2">
        <v>60.71</v>
      </c>
      <c r="R155" s="2">
        <v>60.71</v>
      </c>
      <c r="S155" s="2">
        <v>29.12</v>
      </c>
      <c r="T155" s="2">
        <v>39.29</v>
      </c>
      <c r="U155" s="1">
        <v>222</v>
      </c>
      <c r="V155" s="1" t="s">
        <v>354</v>
      </c>
      <c r="W155" s="1" t="s">
        <v>168</v>
      </c>
      <c r="X155" s="1" t="s">
        <v>199</v>
      </c>
      <c r="Y155" s="1" t="s">
        <v>200</v>
      </c>
      <c r="Z155" s="1">
        <v>2100126</v>
      </c>
    </row>
    <row r="156" spans="1:26" x14ac:dyDescent="0.75">
      <c r="A156" s="3">
        <v>124639</v>
      </c>
      <c r="B156" s="3" t="s">
        <v>169</v>
      </c>
      <c r="C156" s="4">
        <v>44630</v>
      </c>
      <c r="D156" s="3">
        <v>2465099</v>
      </c>
      <c r="E156" s="6">
        <f t="shared" si="4"/>
        <v>23.809463558109467</v>
      </c>
      <c r="F156" s="3">
        <v>17749</v>
      </c>
      <c r="G156" s="6">
        <f t="shared" si="5"/>
        <v>0.17143091157510712</v>
      </c>
      <c r="H156" s="3">
        <v>0</v>
      </c>
      <c r="I156" s="3">
        <v>2447350</v>
      </c>
      <c r="J156" s="3">
        <v>2147</v>
      </c>
      <c r="K156" s="3">
        <v>56</v>
      </c>
      <c r="L156" s="3">
        <v>0</v>
      </c>
      <c r="N156" s="5">
        <v>7.1999999999999998E-3</v>
      </c>
      <c r="O156" s="2">
        <v>138987</v>
      </c>
      <c r="P156" s="2" t="s">
        <v>169</v>
      </c>
      <c r="Q156" s="2">
        <v>0</v>
      </c>
      <c r="R156" s="2">
        <v>0</v>
      </c>
      <c r="S156" s="2">
        <v>0</v>
      </c>
      <c r="T156" s="2">
        <v>0</v>
      </c>
      <c r="U156" s="1">
        <v>223</v>
      </c>
      <c r="V156" s="1" t="s">
        <v>355</v>
      </c>
      <c r="W156" s="1" t="s">
        <v>169</v>
      </c>
      <c r="X156" s="1" t="s">
        <v>199</v>
      </c>
      <c r="Y156" s="1" t="s">
        <v>200</v>
      </c>
      <c r="Z156" s="1">
        <v>10353442</v>
      </c>
    </row>
    <row r="157" spans="1:26" x14ac:dyDescent="0.75">
      <c r="A157" s="3">
        <v>114512</v>
      </c>
      <c r="B157" s="3" t="s">
        <v>170</v>
      </c>
      <c r="C157" s="4">
        <v>44630</v>
      </c>
      <c r="D157" s="3">
        <v>39605</v>
      </c>
      <c r="E157" s="6">
        <f t="shared" si="4"/>
        <v>40.223639576689486</v>
      </c>
      <c r="F157" s="3">
        <v>163</v>
      </c>
      <c r="G157" s="6">
        <f t="shared" si="5"/>
        <v>0.16554609900266093</v>
      </c>
      <c r="H157" s="3">
        <v>0</v>
      </c>
      <c r="I157" s="3">
        <v>39442</v>
      </c>
      <c r="J157" s="3">
        <v>0</v>
      </c>
      <c r="K157" s="3">
        <v>0</v>
      </c>
      <c r="L157" s="3">
        <v>0</v>
      </c>
      <c r="N157" s="5">
        <v>4.1000000000000003E-3</v>
      </c>
      <c r="O157" s="2">
        <v>128222</v>
      </c>
      <c r="P157" s="2" t="s">
        <v>170</v>
      </c>
      <c r="Q157" s="2">
        <v>0</v>
      </c>
      <c r="R157" s="2">
        <v>0</v>
      </c>
      <c r="S157" s="2">
        <v>0</v>
      </c>
      <c r="T157" s="2">
        <v>0</v>
      </c>
      <c r="U157" s="1">
        <v>226</v>
      </c>
      <c r="V157" s="1" t="s">
        <v>356</v>
      </c>
      <c r="W157" s="1" t="s">
        <v>170</v>
      </c>
      <c r="X157" s="1" t="s">
        <v>199</v>
      </c>
      <c r="Y157" s="1" t="s">
        <v>200</v>
      </c>
      <c r="Z157" s="1">
        <v>98462</v>
      </c>
    </row>
    <row r="158" spans="1:26" x14ac:dyDescent="0.75">
      <c r="A158" s="3">
        <v>126197</v>
      </c>
      <c r="B158" s="3" t="s">
        <v>171</v>
      </c>
      <c r="C158" s="4">
        <v>44630</v>
      </c>
      <c r="D158" s="3">
        <v>55243</v>
      </c>
      <c r="E158" s="6">
        <f t="shared" si="4"/>
        <v>0.31566243484458895</v>
      </c>
      <c r="F158" s="3">
        <v>3107</v>
      </c>
      <c r="G158" s="6">
        <f t="shared" si="5"/>
        <v>1.7753619192696593E-2</v>
      </c>
      <c r="H158" s="3">
        <v>0</v>
      </c>
      <c r="I158" s="3">
        <v>52136</v>
      </c>
      <c r="J158" s="3">
        <v>50</v>
      </c>
      <c r="K158" s="3">
        <v>2</v>
      </c>
      <c r="L158" s="3">
        <v>0</v>
      </c>
      <c r="N158" s="5">
        <v>5.62E-2</v>
      </c>
      <c r="O158" s="2">
        <v>140385</v>
      </c>
      <c r="P158" s="2" t="s">
        <v>171</v>
      </c>
      <c r="Q158" s="2">
        <v>0</v>
      </c>
      <c r="R158" s="2">
        <v>0</v>
      </c>
      <c r="S158" s="2">
        <v>0</v>
      </c>
      <c r="T158" s="2">
        <v>0</v>
      </c>
      <c r="U158" s="1">
        <v>227</v>
      </c>
      <c r="V158" s="1" t="s">
        <v>357</v>
      </c>
      <c r="W158" s="1" t="s">
        <v>171</v>
      </c>
      <c r="X158" s="1" t="s">
        <v>199</v>
      </c>
      <c r="Y158" s="1" t="s">
        <v>200</v>
      </c>
      <c r="Z158" s="1">
        <v>17500657</v>
      </c>
    </row>
    <row r="159" spans="1:26" x14ac:dyDescent="0.75">
      <c r="A159" s="3">
        <v>25706</v>
      </c>
      <c r="B159" s="3" t="s">
        <v>172</v>
      </c>
      <c r="C159" s="4">
        <v>44630</v>
      </c>
      <c r="D159" s="3">
        <v>7260</v>
      </c>
      <c r="E159" s="6">
        <f t="shared" si="4"/>
        <v>4.4198601729139399E-2</v>
      </c>
      <c r="F159" s="3">
        <v>190</v>
      </c>
      <c r="G159" s="6">
        <f t="shared" si="5"/>
        <v>1.156712717429268E-3</v>
      </c>
      <c r="H159" s="3">
        <v>0</v>
      </c>
      <c r="I159" s="3">
        <v>7070</v>
      </c>
      <c r="J159" s="3">
        <v>0</v>
      </c>
      <c r="K159" s="3">
        <v>0</v>
      </c>
      <c r="L159" s="3">
        <v>0</v>
      </c>
      <c r="N159" s="5">
        <v>2.6200000000000001E-2</v>
      </c>
      <c r="O159" s="2">
        <v>29584</v>
      </c>
      <c r="P159" s="2" t="s">
        <v>172</v>
      </c>
      <c r="Q159" s="2">
        <v>0</v>
      </c>
      <c r="R159" s="2">
        <v>0</v>
      </c>
      <c r="S159" s="2">
        <v>0</v>
      </c>
      <c r="T159" s="2">
        <v>0</v>
      </c>
      <c r="U159" s="1">
        <v>229</v>
      </c>
      <c r="V159" s="1" t="s">
        <v>358</v>
      </c>
      <c r="W159" s="1" t="s">
        <v>172</v>
      </c>
      <c r="X159" s="1" t="s">
        <v>199</v>
      </c>
      <c r="Y159" s="1" t="s">
        <v>200</v>
      </c>
      <c r="Z159" s="1">
        <v>16425859</v>
      </c>
    </row>
    <row r="160" spans="1:26" x14ac:dyDescent="0.75">
      <c r="A160" s="3">
        <v>129313</v>
      </c>
      <c r="B160" s="3" t="s">
        <v>173</v>
      </c>
      <c r="C160" s="4">
        <v>44630</v>
      </c>
      <c r="D160" s="3">
        <v>36843</v>
      </c>
      <c r="E160" s="6">
        <f t="shared" si="4"/>
        <v>0.4450316515671412</v>
      </c>
      <c r="F160" s="3">
        <v>272</v>
      </c>
      <c r="G160" s="6">
        <f t="shared" si="5"/>
        <v>3.2855253162408708E-3</v>
      </c>
      <c r="H160" s="3">
        <v>0</v>
      </c>
      <c r="I160" s="3">
        <v>36571</v>
      </c>
      <c r="J160" s="3">
        <v>0</v>
      </c>
      <c r="K160" s="3">
        <v>0</v>
      </c>
      <c r="L160" s="3">
        <v>0</v>
      </c>
      <c r="N160" s="5">
        <v>7.4000000000000003E-3</v>
      </c>
      <c r="O160" s="2">
        <v>144629</v>
      </c>
      <c r="P160" s="2" t="s">
        <v>173</v>
      </c>
      <c r="Q160" s="2">
        <v>0</v>
      </c>
      <c r="R160" s="2">
        <v>0</v>
      </c>
      <c r="S160" s="2">
        <v>0</v>
      </c>
      <c r="T160" s="2">
        <v>0</v>
      </c>
      <c r="U160" s="1">
        <v>232</v>
      </c>
      <c r="V160" s="1" t="s">
        <v>359</v>
      </c>
      <c r="W160" s="1" t="s">
        <v>173</v>
      </c>
      <c r="X160" s="1" t="s">
        <v>199</v>
      </c>
      <c r="Y160" s="1" t="s">
        <v>200</v>
      </c>
      <c r="Z160" s="1">
        <v>8278737</v>
      </c>
    </row>
    <row r="161" spans="1:26" x14ac:dyDescent="0.75">
      <c r="A161" s="3">
        <v>128534</v>
      </c>
      <c r="B161" s="3" t="s">
        <v>174</v>
      </c>
      <c r="C161" s="4">
        <v>44630</v>
      </c>
      <c r="D161" s="3">
        <v>3136649</v>
      </c>
      <c r="E161" s="6">
        <f t="shared" si="4"/>
        <v>4.4937678920185329</v>
      </c>
      <c r="F161" s="3">
        <v>23575</v>
      </c>
      <c r="G161" s="6">
        <f t="shared" si="5"/>
        <v>3.377508227867923E-2</v>
      </c>
      <c r="H161" s="3">
        <v>0</v>
      </c>
      <c r="I161" s="3">
        <v>3113074</v>
      </c>
      <c r="J161" s="3">
        <v>24792</v>
      </c>
      <c r="K161" s="3">
        <v>63</v>
      </c>
      <c r="L161" s="3">
        <v>0</v>
      </c>
      <c r="N161" s="5">
        <v>7.4999999999999997E-3</v>
      </c>
      <c r="O161" s="2">
        <v>143239</v>
      </c>
      <c r="P161" s="2" t="s">
        <v>174</v>
      </c>
      <c r="Q161" s="2">
        <v>74.739999999999995</v>
      </c>
      <c r="R161" s="2">
        <v>74.739999999999995</v>
      </c>
      <c r="S161" s="2">
        <v>23.04</v>
      </c>
      <c r="T161" s="2">
        <v>25.26</v>
      </c>
      <c r="U161" s="1">
        <v>233</v>
      </c>
      <c r="V161" s="1" t="s">
        <v>360</v>
      </c>
      <c r="W161" s="1" t="s">
        <v>174</v>
      </c>
      <c r="X161" s="1" t="s">
        <v>199</v>
      </c>
      <c r="Y161" s="1" t="s">
        <v>200</v>
      </c>
      <c r="Z161" s="1">
        <v>69799978</v>
      </c>
    </row>
    <row r="162" spans="1:26" x14ac:dyDescent="0.75">
      <c r="A162" s="3">
        <v>126976</v>
      </c>
      <c r="B162" s="3" t="s">
        <v>175</v>
      </c>
      <c r="C162" s="4">
        <v>44630</v>
      </c>
      <c r="D162" s="3">
        <v>17786</v>
      </c>
      <c r="E162" s="6">
        <f t="shared" si="4"/>
        <v>0.1864821514584003</v>
      </c>
      <c r="F162" s="3">
        <v>125</v>
      </c>
      <c r="G162" s="6">
        <f t="shared" si="5"/>
        <v>1.3105964765714627E-3</v>
      </c>
      <c r="H162" s="3">
        <v>0</v>
      </c>
      <c r="I162" s="3">
        <v>17661</v>
      </c>
      <c r="J162" s="3">
        <v>0</v>
      </c>
      <c r="K162" s="3">
        <v>0</v>
      </c>
      <c r="L162" s="3">
        <v>0</v>
      </c>
      <c r="N162" s="5">
        <v>7.0000000000000001E-3</v>
      </c>
      <c r="O162" s="2">
        <v>141783</v>
      </c>
      <c r="P162" s="2" t="s">
        <v>175</v>
      </c>
      <c r="Q162" s="2">
        <v>0</v>
      </c>
      <c r="R162" s="2">
        <v>0</v>
      </c>
      <c r="S162" s="2">
        <v>0</v>
      </c>
      <c r="T162" s="2">
        <v>0</v>
      </c>
      <c r="U162" s="1">
        <v>234</v>
      </c>
      <c r="V162" s="1" t="s">
        <v>361</v>
      </c>
      <c r="W162" s="1" t="s">
        <v>175</v>
      </c>
      <c r="X162" s="1" t="s">
        <v>199</v>
      </c>
      <c r="Y162" s="1" t="s">
        <v>200</v>
      </c>
      <c r="Z162" s="1">
        <v>9537642</v>
      </c>
    </row>
    <row r="163" spans="1:26" x14ac:dyDescent="0.75">
      <c r="A163" s="3">
        <v>130092</v>
      </c>
      <c r="B163" s="3" t="s">
        <v>176</v>
      </c>
      <c r="C163" s="4">
        <v>44630</v>
      </c>
      <c r="D163" s="3">
        <v>1320</v>
      </c>
      <c r="E163" s="6">
        <f t="shared" si="4"/>
        <v>1.2488528529664986</v>
      </c>
      <c r="F163" s="3">
        <v>0</v>
      </c>
      <c r="G163" s="6">
        <f t="shared" si="5"/>
        <v>0</v>
      </c>
      <c r="H163" s="3">
        <v>0</v>
      </c>
      <c r="I163" s="3">
        <v>1320</v>
      </c>
      <c r="J163" s="3">
        <v>100</v>
      </c>
      <c r="K163" s="3">
        <v>0</v>
      </c>
      <c r="L163" s="3">
        <v>0</v>
      </c>
      <c r="N163" s="5">
        <v>0</v>
      </c>
      <c r="O163" s="2">
        <v>145035</v>
      </c>
      <c r="P163" s="2" t="s">
        <v>176</v>
      </c>
      <c r="Q163" s="2">
        <v>0</v>
      </c>
      <c r="R163" s="2">
        <v>0</v>
      </c>
      <c r="S163" s="2">
        <v>0</v>
      </c>
      <c r="T163" s="2">
        <v>0</v>
      </c>
      <c r="U163" s="1">
        <v>239</v>
      </c>
      <c r="V163" s="1" t="s">
        <v>362</v>
      </c>
      <c r="W163" s="1" t="s">
        <v>176</v>
      </c>
      <c r="X163" s="1" t="s">
        <v>199</v>
      </c>
      <c r="Y163" s="1" t="s">
        <v>200</v>
      </c>
      <c r="Z163" s="1">
        <v>105697</v>
      </c>
    </row>
    <row r="164" spans="1:26" x14ac:dyDescent="0.75">
      <c r="A164" s="3">
        <v>130871</v>
      </c>
      <c r="B164" s="3" t="s">
        <v>177</v>
      </c>
      <c r="C164" s="4">
        <v>44630</v>
      </c>
      <c r="D164" s="3">
        <v>131840</v>
      </c>
      <c r="E164" s="6">
        <f t="shared" si="4"/>
        <v>9.4205679064745684</v>
      </c>
      <c r="F164" s="3">
        <v>3673</v>
      </c>
      <c r="G164" s="6">
        <f t="shared" si="5"/>
        <v>0.26245256311044518</v>
      </c>
      <c r="H164" s="3">
        <v>0</v>
      </c>
      <c r="I164" s="3">
        <v>128167</v>
      </c>
      <c r="J164" s="3">
        <v>462</v>
      </c>
      <c r="K164" s="3">
        <v>4</v>
      </c>
      <c r="L164" s="3">
        <v>0</v>
      </c>
      <c r="N164" s="5">
        <v>2.7900000000000001E-2</v>
      </c>
      <c r="O164" s="2">
        <v>145729</v>
      </c>
      <c r="P164" s="2" t="s">
        <v>177</v>
      </c>
      <c r="Q164" s="2">
        <v>52.43</v>
      </c>
      <c r="R164" s="2">
        <v>52.43</v>
      </c>
      <c r="S164" s="2">
        <v>8.19</v>
      </c>
      <c r="T164" s="2">
        <v>47.57</v>
      </c>
      <c r="U164" s="1">
        <v>242</v>
      </c>
      <c r="V164" s="1" t="s">
        <v>363</v>
      </c>
      <c r="W164" s="1" t="s">
        <v>177</v>
      </c>
      <c r="X164" s="1" t="s">
        <v>199</v>
      </c>
      <c r="Y164" s="1" t="s">
        <v>200</v>
      </c>
      <c r="Z164" s="1">
        <v>1399491</v>
      </c>
    </row>
    <row r="165" spans="1:26" x14ac:dyDescent="0.75">
      <c r="A165" s="3">
        <v>131650</v>
      </c>
      <c r="B165" s="3" t="s">
        <v>178</v>
      </c>
      <c r="C165" s="4">
        <v>44630</v>
      </c>
      <c r="D165" s="3">
        <v>1018447</v>
      </c>
      <c r="E165" s="6">
        <f t="shared" si="4"/>
        <v>8.6173104164970891</v>
      </c>
      <c r="F165" s="3">
        <v>28009</v>
      </c>
      <c r="G165" s="6">
        <f t="shared" si="5"/>
        <v>0.23699048399736755</v>
      </c>
      <c r="H165" s="3">
        <v>0</v>
      </c>
      <c r="I165" s="3">
        <v>990438</v>
      </c>
      <c r="J165" s="3">
        <v>540</v>
      </c>
      <c r="K165" s="3">
        <v>20</v>
      </c>
      <c r="L165" s="3">
        <v>0</v>
      </c>
      <c r="N165" s="5">
        <v>2.75E-2</v>
      </c>
      <c r="O165" s="2">
        <v>146433</v>
      </c>
      <c r="P165" s="2" t="s">
        <v>178</v>
      </c>
      <c r="Q165" s="2">
        <v>0</v>
      </c>
      <c r="R165" s="2">
        <v>0</v>
      </c>
      <c r="S165" s="2">
        <v>0</v>
      </c>
      <c r="T165" s="2">
        <v>0</v>
      </c>
      <c r="U165" s="1">
        <v>243</v>
      </c>
      <c r="V165" s="1" t="s">
        <v>364</v>
      </c>
      <c r="W165" s="1" t="s">
        <v>178</v>
      </c>
      <c r="X165" s="1" t="s">
        <v>199</v>
      </c>
      <c r="Y165" s="1" t="s">
        <v>200</v>
      </c>
      <c r="Z165" s="1">
        <v>11818618</v>
      </c>
    </row>
    <row r="166" spans="1:26" x14ac:dyDescent="0.75">
      <c r="A166" s="3">
        <v>132429</v>
      </c>
      <c r="B166" s="3" t="s">
        <v>179</v>
      </c>
      <c r="C166" s="4">
        <v>44630</v>
      </c>
      <c r="D166" s="3">
        <v>14488373</v>
      </c>
      <c r="E166" s="6">
        <f t="shared" si="4"/>
        <v>17.178720983479696</v>
      </c>
      <c r="F166" s="3">
        <v>96094</v>
      </c>
      <c r="G166" s="6">
        <f t="shared" si="5"/>
        <v>0.11393770813234157</v>
      </c>
      <c r="H166" s="3">
        <v>0</v>
      </c>
      <c r="I166" s="3">
        <v>14392279</v>
      </c>
      <c r="J166" s="3">
        <v>29492</v>
      </c>
      <c r="K166" s="3">
        <v>140</v>
      </c>
      <c r="L166" s="3">
        <v>0</v>
      </c>
      <c r="N166" s="5">
        <v>6.6E-3</v>
      </c>
      <c r="O166" s="2">
        <v>147130</v>
      </c>
      <c r="P166" s="2" t="s">
        <v>179</v>
      </c>
      <c r="Q166" s="2">
        <v>67.599999999999994</v>
      </c>
      <c r="R166" s="2">
        <v>67.599999999999994</v>
      </c>
      <c r="S166" s="2">
        <v>38.619999999999997</v>
      </c>
      <c r="T166" s="2">
        <v>32.4</v>
      </c>
      <c r="U166" s="1">
        <v>244</v>
      </c>
      <c r="V166" s="1" t="s">
        <v>365</v>
      </c>
      <c r="W166" s="1" t="s">
        <v>179</v>
      </c>
      <c r="X166" s="1" t="s">
        <v>199</v>
      </c>
      <c r="Y166" s="1" t="s">
        <v>200</v>
      </c>
      <c r="Z166" s="1">
        <v>84339067</v>
      </c>
    </row>
    <row r="167" spans="1:26" x14ac:dyDescent="0.75">
      <c r="A167" s="3">
        <v>127755</v>
      </c>
      <c r="B167" s="3" t="s">
        <v>180</v>
      </c>
      <c r="C167" s="4">
        <v>44630</v>
      </c>
      <c r="D167" s="3">
        <v>33726</v>
      </c>
      <c r="E167" s="6">
        <f t="shared" si="4"/>
        <v>5.6460106036719686E-2</v>
      </c>
      <c r="F167" s="3">
        <v>800</v>
      </c>
      <c r="G167" s="6">
        <f t="shared" si="5"/>
        <v>1.3392659915013863E-3</v>
      </c>
      <c r="H167" s="3">
        <v>0</v>
      </c>
      <c r="I167" s="3">
        <v>32926</v>
      </c>
      <c r="J167" s="3">
        <v>0</v>
      </c>
      <c r="K167" s="3">
        <v>0</v>
      </c>
      <c r="L167" s="3">
        <v>0</v>
      </c>
      <c r="N167" s="5">
        <v>2.3699999999999999E-2</v>
      </c>
      <c r="O167" s="2">
        <v>142475</v>
      </c>
      <c r="P167" s="2" t="s">
        <v>180</v>
      </c>
      <c r="Q167" s="2">
        <v>0</v>
      </c>
      <c r="R167" s="2">
        <v>0</v>
      </c>
      <c r="S167" s="2">
        <v>0</v>
      </c>
      <c r="T167" s="2">
        <v>0</v>
      </c>
      <c r="U167" s="1">
        <v>246</v>
      </c>
      <c r="V167" s="1" t="s">
        <v>366</v>
      </c>
      <c r="W167" s="1" t="s">
        <v>180</v>
      </c>
      <c r="X167" s="1" t="s">
        <v>199</v>
      </c>
      <c r="Y167" s="1" t="s">
        <v>200</v>
      </c>
      <c r="Z167" s="1">
        <v>59734213</v>
      </c>
    </row>
    <row r="168" spans="1:26" x14ac:dyDescent="0.75">
      <c r="A168" s="3">
        <v>133208</v>
      </c>
      <c r="B168" s="3" t="s">
        <v>181</v>
      </c>
      <c r="C168" s="4">
        <v>44630</v>
      </c>
      <c r="D168" s="3">
        <v>163513</v>
      </c>
      <c r="E168" s="6">
        <f t="shared" si="4"/>
        <v>0.35747578758662907</v>
      </c>
      <c r="F168" s="3">
        <v>3593</v>
      </c>
      <c r="G168" s="6">
        <f t="shared" si="5"/>
        <v>7.8550971775868464E-3</v>
      </c>
      <c r="H168" s="3">
        <v>0</v>
      </c>
      <c r="I168" s="3">
        <v>159920</v>
      </c>
      <c r="J168" s="3">
        <v>59</v>
      </c>
      <c r="K168" s="3">
        <v>0</v>
      </c>
      <c r="L168" s="3">
        <v>0</v>
      </c>
      <c r="N168" s="5">
        <v>2.1999999999999999E-2</v>
      </c>
      <c r="O168" s="2">
        <v>148859</v>
      </c>
      <c r="P168" s="2" t="s">
        <v>181</v>
      </c>
      <c r="Q168" s="2">
        <v>0</v>
      </c>
      <c r="R168" s="2">
        <v>0</v>
      </c>
      <c r="S168" s="2">
        <v>0</v>
      </c>
      <c r="T168" s="2">
        <v>0</v>
      </c>
      <c r="U168" s="1">
        <v>247</v>
      </c>
      <c r="V168" s="1" t="s">
        <v>367</v>
      </c>
      <c r="W168" s="1" t="s">
        <v>181</v>
      </c>
      <c r="X168" s="1" t="s">
        <v>199</v>
      </c>
      <c r="Y168" s="1" t="s">
        <v>200</v>
      </c>
      <c r="Z168" s="1">
        <v>45741000</v>
      </c>
    </row>
    <row r="169" spans="1:26" x14ac:dyDescent="0.75">
      <c r="A169" s="3">
        <v>133987</v>
      </c>
      <c r="B169" s="3" t="s">
        <v>182</v>
      </c>
      <c r="C169" s="4">
        <v>44630</v>
      </c>
      <c r="D169" s="3">
        <v>5040518</v>
      </c>
      <c r="E169" s="6">
        <f t="shared" si="4"/>
        <v>11.420761440438703</v>
      </c>
      <c r="F169" s="3">
        <v>112459</v>
      </c>
      <c r="G169" s="6">
        <f t="shared" si="5"/>
        <v>0.25480861507295405</v>
      </c>
      <c r="H169" s="3">
        <v>0</v>
      </c>
      <c r="I169" s="3">
        <v>4928059</v>
      </c>
      <c r="J169" s="3">
        <v>0</v>
      </c>
      <c r="K169" s="3">
        <v>0</v>
      </c>
      <c r="L169" s="3">
        <v>0</v>
      </c>
      <c r="N169" s="5">
        <v>2.23E-2</v>
      </c>
      <c r="O169" s="2">
        <v>149564</v>
      </c>
      <c r="P169" s="2" t="s">
        <v>182</v>
      </c>
      <c r="Q169" s="2">
        <v>35.58</v>
      </c>
      <c r="R169" s="2">
        <v>35.58</v>
      </c>
      <c r="S169" s="2">
        <v>0</v>
      </c>
      <c r="T169" s="2">
        <v>64.42</v>
      </c>
      <c r="U169" s="1">
        <v>248</v>
      </c>
      <c r="V169" s="1" t="s">
        <v>368</v>
      </c>
      <c r="W169" s="1" t="s">
        <v>182</v>
      </c>
      <c r="X169" s="1" t="s">
        <v>199</v>
      </c>
      <c r="Y169" s="1" t="s">
        <v>200</v>
      </c>
      <c r="Z169" s="1">
        <v>44134693</v>
      </c>
    </row>
    <row r="170" spans="1:26" x14ac:dyDescent="0.75">
      <c r="A170" s="3">
        <v>137103</v>
      </c>
      <c r="B170" s="3" t="s">
        <v>183</v>
      </c>
      <c r="C170" s="4">
        <v>44630</v>
      </c>
      <c r="D170" s="3">
        <v>860663</v>
      </c>
      <c r="E170" s="6">
        <f t="shared" si="4"/>
        <v>24.776356921542771</v>
      </c>
      <c r="F170" s="3">
        <v>7075</v>
      </c>
      <c r="G170" s="6">
        <f t="shared" si="5"/>
        <v>0.20367173355879722</v>
      </c>
      <c r="H170" s="3">
        <v>0</v>
      </c>
      <c r="I170" s="3">
        <v>853588</v>
      </c>
      <c r="J170" s="3">
        <v>1498</v>
      </c>
      <c r="K170" s="3">
        <v>6</v>
      </c>
      <c r="L170" s="3">
        <v>0</v>
      </c>
      <c r="N170" s="5">
        <v>8.2000000000000007E-3</v>
      </c>
      <c r="O170" s="2">
        <v>153227</v>
      </c>
      <c r="P170" s="2" t="s">
        <v>183</v>
      </c>
      <c r="Q170" s="2">
        <v>84.01</v>
      </c>
      <c r="R170" s="2">
        <v>84.01</v>
      </c>
      <c r="S170" s="2">
        <v>53.47</v>
      </c>
      <c r="T170" s="2">
        <v>15.99</v>
      </c>
      <c r="U170" s="1">
        <v>250</v>
      </c>
      <c r="V170" s="1" t="s">
        <v>369</v>
      </c>
      <c r="W170" s="1" t="s">
        <v>183</v>
      </c>
      <c r="X170" s="1" t="s">
        <v>199</v>
      </c>
      <c r="Y170" s="1" t="s">
        <v>200</v>
      </c>
      <c r="Z170" s="1">
        <v>3473727</v>
      </c>
    </row>
    <row r="171" spans="1:26" x14ac:dyDescent="0.75">
      <c r="A171" s="3">
        <v>136324</v>
      </c>
      <c r="B171" s="3" t="s">
        <v>184</v>
      </c>
      <c r="C171" s="4">
        <v>44630</v>
      </c>
      <c r="D171" s="3">
        <v>79454920</v>
      </c>
      <c r="E171" s="6">
        <f t="shared" si="4"/>
        <v>24.114946503810746</v>
      </c>
      <c r="F171" s="3">
        <v>965464</v>
      </c>
      <c r="G171" s="6">
        <f t="shared" si="5"/>
        <v>0.29302292056118284</v>
      </c>
      <c r="H171" s="3">
        <v>0</v>
      </c>
      <c r="I171" s="3">
        <v>78489456</v>
      </c>
      <c r="J171" s="3">
        <v>48318</v>
      </c>
      <c r="K171" s="3">
        <v>1645</v>
      </c>
      <c r="L171" s="3">
        <v>0</v>
      </c>
      <c r="N171" s="5">
        <v>1.2200000000000001E-2</v>
      </c>
      <c r="O171" s="2">
        <v>151786</v>
      </c>
      <c r="P171" s="2" t="s">
        <v>184</v>
      </c>
      <c r="Q171" s="2">
        <v>75.58</v>
      </c>
      <c r="R171" s="2">
        <v>75.58</v>
      </c>
      <c r="S171" s="2">
        <v>26.94</v>
      </c>
      <c r="T171" s="2">
        <v>24.42</v>
      </c>
      <c r="U171" s="1">
        <v>251</v>
      </c>
      <c r="V171" s="1" t="s">
        <v>370</v>
      </c>
      <c r="W171" s="1" t="s">
        <v>184</v>
      </c>
      <c r="X171" s="1" t="s">
        <v>199</v>
      </c>
      <c r="Y171" s="1" t="s">
        <v>200</v>
      </c>
      <c r="Z171" s="1">
        <v>329484123</v>
      </c>
    </row>
    <row r="172" spans="1:26" x14ac:dyDescent="0.75">
      <c r="A172" s="3">
        <v>137882</v>
      </c>
      <c r="B172" s="3" t="s">
        <v>185</v>
      </c>
      <c r="C172" s="4">
        <v>44630</v>
      </c>
      <c r="D172" s="3">
        <v>237059</v>
      </c>
      <c r="E172" s="6">
        <f t="shared" si="4"/>
        <v>0.69250599949462566</v>
      </c>
      <c r="F172" s="3">
        <v>1637</v>
      </c>
      <c r="G172" s="6">
        <f t="shared" si="5"/>
        <v>4.782068266434525E-3</v>
      </c>
      <c r="H172" s="3">
        <v>0</v>
      </c>
      <c r="I172" s="3">
        <v>235422</v>
      </c>
      <c r="J172" s="3">
        <v>14</v>
      </c>
      <c r="K172" s="3">
        <v>0</v>
      </c>
      <c r="L172" s="3">
        <v>0</v>
      </c>
      <c r="N172" s="5">
        <v>6.8999999999999999E-3</v>
      </c>
      <c r="O172" s="2">
        <v>153920</v>
      </c>
      <c r="P172" s="2" t="s">
        <v>185</v>
      </c>
      <c r="Q172" s="2">
        <v>0</v>
      </c>
      <c r="R172" s="2">
        <v>0</v>
      </c>
      <c r="S172" s="2">
        <v>0</v>
      </c>
      <c r="T172" s="2">
        <v>0</v>
      </c>
      <c r="U172" s="1">
        <v>252</v>
      </c>
      <c r="V172" s="1" t="s">
        <v>371</v>
      </c>
      <c r="W172" s="1" t="s">
        <v>185</v>
      </c>
      <c r="X172" s="1" t="s">
        <v>199</v>
      </c>
      <c r="Y172" s="1" t="s">
        <v>200</v>
      </c>
      <c r="Z172" s="1">
        <v>34232050</v>
      </c>
    </row>
    <row r="173" spans="1:26" x14ac:dyDescent="0.75">
      <c r="A173" s="3">
        <v>109059</v>
      </c>
      <c r="B173" s="3" t="s">
        <v>186</v>
      </c>
      <c r="C173" s="4">
        <v>44630</v>
      </c>
      <c r="D173" s="3">
        <v>8321</v>
      </c>
      <c r="E173" s="6">
        <f t="shared" si="4"/>
        <v>7.4999774667183425</v>
      </c>
      <c r="F173" s="3">
        <v>106</v>
      </c>
      <c r="G173" s="6">
        <f t="shared" si="5"/>
        <v>9.5541114225711377E-2</v>
      </c>
      <c r="H173" s="3">
        <v>0</v>
      </c>
      <c r="I173" s="3">
        <v>8215</v>
      </c>
      <c r="J173" s="3">
        <v>0</v>
      </c>
      <c r="K173" s="3">
        <v>0</v>
      </c>
      <c r="L173" s="3">
        <v>0</v>
      </c>
      <c r="N173" s="5">
        <v>1.2699999999999999E-2</v>
      </c>
      <c r="O173" s="2">
        <v>123579</v>
      </c>
      <c r="P173" s="2" t="s">
        <v>186</v>
      </c>
      <c r="Q173" s="2">
        <v>0</v>
      </c>
      <c r="R173" s="2">
        <v>0</v>
      </c>
      <c r="S173" s="2">
        <v>0</v>
      </c>
      <c r="T173" s="2">
        <v>0</v>
      </c>
      <c r="U173" s="1">
        <v>253</v>
      </c>
      <c r="V173" s="1" t="s">
        <v>372</v>
      </c>
      <c r="W173" s="1" t="s">
        <v>186</v>
      </c>
      <c r="X173" s="1" t="s">
        <v>199</v>
      </c>
      <c r="Y173" s="1" t="s">
        <v>200</v>
      </c>
      <c r="Z173" s="1">
        <v>110947</v>
      </c>
    </row>
    <row r="174" spans="1:26" x14ac:dyDescent="0.75">
      <c r="A174" s="3">
        <v>139440</v>
      </c>
      <c r="B174" s="3" t="s">
        <v>187</v>
      </c>
      <c r="C174" s="4">
        <v>44630</v>
      </c>
      <c r="D174" s="3">
        <v>517720</v>
      </c>
      <c r="E174" s="6">
        <f t="shared" si="4"/>
        <v>1.8206535299356876</v>
      </c>
      <c r="F174" s="3">
        <v>5655</v>
      </c>
      <c r="G174" s="6">
        <f t="shared" si="5"/>
        <v>1.9886803120965604E-2</v>
      </c>
      <c r="H174" s="3">
        <v>0</v>
      </c>
      <c r="I174" s="3">
        <v>512065</v>
      </c>
      <c r="J174" s="3">
        <v>556</v>
      </c>
      <c r="K174" s="3">
        <v>3</v>
      </c>
      <c r="L174" s="3">
        <v>0</v>
      </c>
      <c r="N174" s="5">
        <v>1.09E-2</v>
      </c>
      <c r="O174" s="2">
        <v>155769</v>
      </c>
      <c r="P174" s="2" t="s">
        <v>187</v>
      </c>
      <c r="Q174" s="2">
        <v>0</v>
      </c>
      <c r="R174" s="2">
        <v>0</v>
      </c>
      <c r="S174" s="2">
        <v>0</v>
      </c>
      <c r="T174" s="2">
        <v>0</v>
      </c>
      <c r="U174" s="1">
        <v>254</v>
      </c>
      <c r="V174" s="1" t="s">
        <v>373</v>
      </c>
      <c r="W174" s="1" t="s">
        <v>187</v>
      </c>
      <c r="X174" s="1" t="s">
        <v>199</v>
      </c>
      <c r="Y174" s="1" t="s">
        <v>200</v>
      </c>
      <c r="Z174" s="1">
        <v>28435943</v>
      </c>
    </row>
    <row r="175" spans="1:26" x14ac:dyDescent="0.75">
      <c r="A175" s="3">
        <v>140219</v>
      </c>
      <c r="B175" s="3" t="s">
        <v>188</v>
      </c>
      <c r="C175" s="4">
        <v>44630</v>
      </c>
      <c r="D175" s="3">
        <v>5260495</v>
      </c>
      <c r="E175" s="6">
        <f t="shared" si="4"/>
        <v>5.404326668696215</v>
      </c>
      <c r="F175" s="3">
        <v>41157</v>
      </c>
      <c r="G175" s="6">
        <f t="shared" si="5"/>
        <v>4.2282308547680419E-2</v>
      </c>
      <c r="H175" s="3">
        <v>0</v>
      </c>
      <c r="I175" s="3">
        <v>5219338</v>
      </c>
      <c r="J175" s="3">
        <v>218459</v>
      </c>
      <c r="K175" s="3">
        <v>71</v>
      </c>
      <c r="L175" s="3">
        <v>0</v>
      </c>
      <c r="N175" s="5">
        <v>7.7999999999999996E-3</v>
      </c>
      <c r="O175" s="2">
        <v>156514</v>
      </c>
      <c r="P175" s="2" t="s">
        <v>188</v>
      </c>
      <c r="Q175" s="2">
        <v>0</v>
      </c>
      <c r="R175" s="2">
        <v>0</v>
      </c>
      <c r="S175" s="2">
        <v>0</v>
      </c>
      <c r="T175" s="2">
        <v>0</v>
      </c>
      <c r="U175" s="1">
        <v>257</v>
      </c>
      <c r="V175" s="1" t="s">
        <v>374</v>
      </c>
      <c r="W175" s="1" t="s">
        <v>188</v>
      </c>
      <c r="X175" s="1" t="s">
        <v>199</v>
      </c>
      <c r="Y175" s="1" t="s">
        <v>200</v>
      </c>
      <c r="Z175" s="1">
        <v>97338583</v>
      </c>
    </row>
    <row r="176" spans="1:26" x14ac:dyDescent="0.75">
      <c r="A176" s="3">
        <v>138661</v>
      </c>
      <c r="B176" s="3" t="s">
        <v>189</v>
      </c>
      <c r="C176" s="4">
        <v>44630</v>
      </c>
      <c r="D176" s="3">
        <v>102</v>
      </c>
      <c r="E176" s="6">
        <f t="shared" si="4"/>
        <v>3.3208530034185252E-2</v>
      </c>
      <c r="F176" s="3">
        <v>1</v>
      </c>
      <c r="G176" s="6">
        <f t="shared" si="5"/>
        <v>3.2557382386456127E-4</v>
      </c>
      <c r="H176" s="3">
        <v>0</v>
      </c>
      <c r="I176" s="3">
        <v>101</v>
      </c>
      <c r="J176" s="3">
        <v>7</v>
      </c>
      <c r="K176" s="3">
        <v>0</v>
      </c>
      <c r="L176" s="3">
        <v>0</v>
      </c>
      <c r="N176" s="5">
        <v>9.7999999999999997E-3</v>
      </c>
      <c r="O176" s="2">
        <v>154373</v>
      </c>
      <c r="P176" s="2" t="s">
        <v>189</v>
      </c>
      <c r="Q176" s="2">
        <v>0</v>
      </c>
      <c r="R176" s="2">
        <v>0</v>
      </c>
      <c r="S176" s="2">
        <v>0</v>
      </c>
      <c r="T176" s="2">
        <v>0</v>
      </c>
      <c r="U176" s="1">
        <v>258</v>
      </c>
      <c r="V176" s="1" t="s">
        <v>375</v>
      </c>
      <c r="W176" s="1" t="s">
        <v>189</v>
      </c>
      <c r="X176" s="1" t="s">
        <v>199</v>
      </c>
      <c r="Y176" s="1" t="s">
        <v>200</v>
      </c>
      <c r="Z176" s="1">
        <v>307150</v>
      </c>
    </row>
    <row r="177" spans="1:26" x14ac:dyDescent="0.75">
      <c r="A177" s="3">
        <v>109838</v>
      </c>
      <c r="B177" s="3" t="s">
        <v>190</v>
      </c>
      <c r="C177" s="4">
        <v>44630</v>
      </c>
      <c r="D177" s="3">
        <v>45</v>
      </c>
      <c r="E177" s="6">
        <f t="shared" si="4"/>
        <v>2.2680308452194951E-2</v>
      </c>
      <c r="F177" s="3">
        <v>0</v>
      </c>
      <c r="G177" s="6">
        <f t="shared" si="5"/>
        <v>0</v>
      </c>
      <c r="H177" s="3">
        <v>0</v>
      </c>
      <c r="I177" s="3">
        <v>45</v>
      </c>
      <c r="J177" s="3">
        <v>4</v>
      </c>
      <c r="K177" s="3">
        <v>0</v>
      </c>
      <c r="L177" s="3">
        <v>0</v>
      </c>
      <c r="N177" s="5">
        <v>0</v>
      </c>
      <c r="O177" s="2">
        <v>124024</v>
      </c>
      <c r="P177" s="2" t="s">
        <v>190</v>
      </c>
      <c r="Q177" s="2">
        <v>0</v>
      </c>
      <c r="R177" s="2">
        <v>0</v>
      </c>
      <c r="S177" s="2">
        <v>0</v>
      </c>
      <c r="T177" s="2">
        <v>0</v>
      </c>
      <c r="U177" s="1">
        <v>260</v>
      </c>
      <c r="V177" s="1" t="s">
        <v>376</v>
      </c>
      <c r="W177" s="1" t="s">
        <v>190</v>
      </c>
      <c r="X177" s="1" t="s">
        <v>199</v>
      </c>
      <c r="Y177" s="1" t="s">
        <v>200</v>
      </c>
      <c r="Z177" s="1">
        <v>198410</v>
      </c>
    </row>
    <row r="178" spans="1:26" x14ac:dyDescent="0.75">
      <c r="A178" s="3">
        <v>140998</v>
      </c>
      <c r="B178" s="3" t="s">
        <v>191</v>
      </c>
      <c r="C178" s="4">
        <v>44630</v>
      </c>
      <c r="D178" s="3">
        <v>11783</v>
      </c>
      <c r="E178" s="6">
        <f t="shared" si="4"/>
        <v>3.9505842693856576E-2</v>
      </c>
      <c r="F178" s="3">
        <v>2139</v>
      </c>
      <c r="G178" s="6">
        <f t="shared" si="5"/>
        <v>7.1716029468012572E-3</v>
      </c>
      <c r="H178" s="3">
        <v>0</v>
      </c>
      <c r="I178" s="3">
        <v>9644</v>
      </c>
      <c r="J178" s="3">
        <v>2</v>
      </c>
      <c r="K178" s="3">
        <v>1</v>
      </c>
      <c r="L178" s="3">
        <v>0</v>
      </c>
      <c r="N178" s="5">
        <v>0.18149999999999999</v>
      </c>
      <c r="O178" s="2">
        <v>158402</v>
      </c>
      <c r="P178" s="2" t="s">
        <v>191</v>
      </c>
      <c r="Q178" s="2">
        <v>0</v>
      </c>
      <c r="R178" s="2">
        <v>0</v>
      </c>
      <c r="S178" s="2">
        <v>0</v>
      </c>
      <c r="T178" s="2">
        <v>0</v>
      </c>
      <c r="U178" s="1">
        <v>262</v>
      </c>
      <c r="V178" s="1" t="s">
        <v>377</v>
      </c>
      <c r="W178" s="1" t="s">
        <v>191</v>
      </c>
      <c r="X178" s="1" t="s">
        <v>199</v>
      </c>
      <c r="Y178" s="1" t="s">
        <v>200</v>
      </c>
      <c r="Z178" s="1">
        <v>29825968</v>
      </c>
    </row>
    <row r="179" spans="1:26" x14ac:dyDescent="0.75">
      <c r="A179" s="3">
        <v>119965</v>
      </c>
      <c r="B179" s="3" t="s">
        <v>192</v>
      </c>
      <c r="C179" s="4">
        <v>44630</v>
      </c>
      <c r="D179" s="3">
        <v>3690291</v>
      </c>
      <c r="E179" s="6">
        <f t="shared" si="4"/>
        <v>6.2221758733838159</v>
      </c>
      <c r="F179" s="3">
        <v>99681</v>
      </c>
      <c r="G179" s="6">
        <f t="shared" si="5"/>
        <v>0.16807149171563224</v>
      </c>
      <c r="H179" s="3">
        <v>0</v>
      </c>
      <c r="I179" s="3">
        <v>3590610</v>
      </c>
      <c r="J179" s="3">
        <v>1868</v>
      </c>
      <c r="K179" s="3">
        <v>25</v>
      </c>
      <c r="L179" s="3">
        <v>0</v>
      </c>
      <c r="N179" s="5">
        <v>2.7E-2</v>
      </c>
      <c r="O179" s="2">
        <v>133252</v>
      </c>
      <c r="P179" s="2" t="s">
        <v>192</v>
      </c>
      <c r="Q179" s="2">
        <v>0</v>
      </c>
      <c r="R179" s="2">
        <v>0</v>
      </c>
      <c r="S179" s="2">
        <v>0</v>
      </c>
      <c r="T179" s="2">
        <v>0</v>
      </c>
      <c r="U179" s="1">
        <v>263</v>
      </c>
      <c r="V179" s="1" t="s">
        <v>378</v>
      </c>
      <c r="W179" s="1" t="s">
        <v>192</v>
      </c>
      <c r="X179" s="1" t="s">
        <v>199</v>
      </c>
      <c r="Y179" s="1" t="s">
        <v>200</v>
      </c>
      <c r="Z179" s="1">
        <v>59308690</v>
      </c>
    </row>
    <row r="180" spans="1:26" x14ac:dyDescent="0.75">
      <c r="A180" s="3">
        <v>141777</v>
      </c>
      <c r="B180" s="3" t="s">
        <v>193</v>
      </c>
      <c r="C180" s="4">
        <v>44630</v>
      </c>
      <c r="D180" s="3">
        <v>314850</v>
      </c>
      <c r="E180" s="6">
        <f t="shared" si="4"/>
        <v>1.7126346472978937</v>
      </c>
      <c r="F180" s="3">
        <v>3960</v>
      </c>
      <c r="G180" s="6">
        <f t="shared" si="5"/>
        <v>2.1540521528663363E-2</v>
      </c>
      <c r="H180" s="3">
        <v>0</v>
      </c>
      <c r="I180" s="3">
        <v>310890</v>
      </c>
      <c r="J180" s="3">
        <v>209</v>
      </c>
      <c r="K180" s="3">
        <v>0</v>
      </c>
      <c r="L180" s="3">
        <v>0</v>
      </c>
      <c r="N180" s="5">
        <v>1.26E-2</v>
      </c>
      <c r="O180" s="2">
        <v>159092</v>
      </c>
      <c r="P180" s="2" t="s">
        <v>193</v>
      </c>
      <c r="Q180" s="2">
        <v>0</v>
      </c>
      <c r="R180" s="2">
        <v>0</v>
      </c>
      <c r="S180" s="2">
        <v>0</v>
      </c>
      <c r="T180" s="2">
        <v>0</v>
      </c>
      <c r="U180" s="1">
        <v>264</v>
      </c>
      <c r="V180" s="1" t="s">
        <v>379</v>
      </c>
      <c r="W180" s="1" t="s">
        <v>193</v>
      </c>
      <c r="X180" s="1" t="s">
        <v>199</v>
      </c>
      <c r="Y180" s="1" t="s">
        <v>200</v>
      </c>
      <c r="Z180" s="1">
        <v>18383956</v>
      </c>
    </row>
    <row r="181" spans="1:26" x14ac:dyDescent="0.75">
      <c r="A181" s="3">
        <v>142556</v>
      </c>
      <c r="B181" s="3" t="s">
        <v>194</v>
      </c>
      <c r="C181" s="4">
        <v>44630</v>
      </c>
      <c r="D181" s="3">
        <v>241548</v>
      </c>
      <c r="E181" s="6">
        <f t="shared" si="4"/>
        <v>1.6251711389015095</v>
      </c>
      <c r="F181" s="3">
        <v>5408</v>
      </c>
      <c r="G181" s="6">
        <f t="shared" si="5"/>
        <v>3.6385834364926907E-2</v>
      </c>
      <c r="H181" s="3">
        <v>0</v>
      </c>
      <c r="I181" s="3">
        <v>236140</v>
      </c>
      <c r="J181" s="3">
        <v>1205</v>
      </c>
      <c r="K181" s="3">
        <v>8</v>
      </c>
      <c r="L181" s="3">
        <v>0</v>
      </c>
      <c r="N181" s="5">
        <v>2.24E-2</v>
      </c>
      <c r="O181" s="2">
        <v>159780</v>
      </c>
      <c r="P181" s="2" t="s">
        <v>194</v>
      </c>
      <c r="Q181" s="2">
        <v>28.46</v>
      </c>
      <c r="R181" s="2">
        <v>28.46</v>
      </c>
      <c r="S181" s="2">
        <v>0</v>
      </c>
      <c r="T181" s="2">
        <v>71.540000000000006</v>
      </c>
      <c r="U181" s="1">
        <v>265</v>
      </c>
      <c r="V181" s="1" t="s">
        <v>380</v>
      </c>
      <c r="W181" s="1" t="s">
        <v>194</v>
      </c>
      <c r="X181" s="1" t="s">
        <v>199</v>
      </c>
      <c r="Y181" s="1" t="s">
        <v>200</v>
      </c>
      <c r="Z181" s="1">
        <v>14862927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covid_test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Michael Murphy</cp:lastModifiedBy>
  <dcterms:created xsi:type="dcterms:W3CDTF">2022-03-12T07:07:07Z</dcterms:created>
  <dcterms:modified xsi:type="dcterms:W3CDTF">2022-03-12T19:42:09Z</dcterms:modified>
</cp:coreProperties>
</file>